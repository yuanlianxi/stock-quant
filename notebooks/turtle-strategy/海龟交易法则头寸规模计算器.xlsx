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海龟头寸计算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<sst xmlns="http://schemas.openxmlformats.org/spreadsheetml/2006/main" count="30" uniqueCount="27">
  <si>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海龟交易法则 头寸规模计算器（含期货合约乘数）</t>
  </si>
  <si>
    <t>核心逻辑：固定单笔亏损占总资金1%，用ATR衡量波动，纳入期货合约乘数计算真实风险</t>
  </si>
  <si>
    <t>账户总资金</t>
  </si>
  <si>
    <t>元</t>
  </si>
  <si>
    <t>单笔风险比例</t>
  </si>
  <si>
    <t>%</t>
  </si>
  <si>
    <t>20日ATR(N值)</t>
  </si>
  <si>
    <t>点</t>
  </si>
  <si>
    <t>期货合约乘数/每点价值</t>
  </si>
  <si>
    <t>元/点</t>
  </si>
  <si>
    <t>单笔最大允许亏损</t>
  </si>
  <si>
    <t>每手合约波动1N的亏损</t>
  </si>
  <si>
    <t>每标准头寸单位（手数）</t>
  </si>
  <si>
    <t>手</t>
  </si>
  <si>
    <t>实际可开仓手数（向下取整）</t>
  </si>
  <si>
    <t>海龟法则标准持仓限制规则</t>
  </si>
  <si>
    <t>单一市场最大持仓</t>
  </si>
  <si>
    <t>4个标准头寸单位</t>
  </si>
  <si>
    <t>高度相关市场总持仓</t>
  </si>
  <si>
    <t>6个标准头寸单位</t>
  </si>
  <si>
    <t>单一方向（多/空）总持仓</t>
  </si>
  <si>
    <t>10-12个标准头寸单位</t>
  </si>
  <si>
    <t>实战示例（当前参数）</t>
  </si>
  <si>
    <t>1. 账户总资金100万元，单笔风险1%，最大可亏损1万元</t>
  </si>
  <si>
    <t>2. 合约乘数300元/点，ATR=50点，每手波动1个ATR亏损1.5万元</t>
  </si>
  <si>
    <t>3. 标准头寸单位=1万/1.5万≈0.67手，实际可开仓0手或1手</t>
  </si>
  <si>
    <t>4. 若开仓1手，单笔风险为1.5万元，占账户1.5%，需注意风险控制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</si>
</sst>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sz val="10"/>
      <color rgb="FF666666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3"/>
  <sheetViews>
    <sheetView tabSelected="1" workbookViewId="0">
      <pane ySplit="3" topLeftCell="A4" activePane="bottomLeft" state="frozen"/>
      <selection/>
      <selection pane="bottomLeft" activeCell="G14" sqref="G14"/>
    </sheetView>
  </sheetViews>
  <sheetFormatPr defaultColWidth="14" defaultRowHeight="12.75" outlineLevelCol="3"/>
  <cols>
    <col min="1" max="1" width="51" customWidth="1"/>
    <col min="2" max="2" width="24" customWidth="1"/>
    <col min="3" max="3" width="18" customWidth="1"/>
    <col min="4" max="4" width="9" customWidth="1"/>
  </cols>
  <sheetData>
    <row r="1" ht="38" customHeight="1" spans="1:4">
      <c r="A1" s="1" t="s">
        <v>0</v>
      </c>
    </row>
    <row r="2" ht="24" customHeight="1" spans="1:4">
      <c r="A2" s="2" t="s">
        <v>1</v>
      </c>
    </row>
    <row r="3" ht="15" customHeight="1"/>
    <row r="4" ht="29" customHeight="1" spans="1:4">
      <c r="A4" s="3" t="s">
        <v>2</v>
      </c>
      <c r="C4" s="4">
        <v>1000000</v>
      </c>
      <c r="D4" s="5" t="s">
        <v>3</v>
      </c>
    </row>
    <row r="5" ht="15" customHeight="1" spans="1:4">
      <c r="A5" s="5" t="s">
        <v>4</v>
      </c>
      <c r="C5" s="4">
        <v>1</v>
      </c>
      <c r="D5" s="5" t="s">
        <v>5</v>
      </c>
    </row>
    <row r="6" ht="15" customHeight="1" spans="1:4">
      <c r="A6" s="5" t="s">
        <v>6</v>
      </c>
      <c r="C6" s="4">
        <v>50</v>
      </c>
      <c r="D6" s="5" t="s">
        <v>7</v>
      </c>
    </row>
    <row r="7" ht="15" customHeight="1" spans="1:4">
      <c r="A7" s="5" t="s">
        <v>8</v>
      </c>
      <c r="C7" s="4">
        <v>300</v>
      </c>
      <c r="D7" s="5" t="s">
        <v>9</v>
      </c>
    </row>
    <row r="8" ht="15" customHeight="1"/>
    <row r="9" ht="29" customHeight="1" spans="1:4">
      <c r="A9" s="6" t="s">
        <v>10</v>
      </c>
      <c r="C9" s="7">
        <f>C4*C5/100</f>
        <v>10000</v>
      </c>
      <c r="D9" s="8" t="s">
        <v>3</v>
      </c>
    </row>
    <row r="10" ht="15" customHeight="1" spans="1:4">
      <c r="A10" s="8" t="s">
        <v>11</v>
      </c>
      <c r="C10" s="7">
        <f>C6*C7</f>
        <v>15000</v>
      </c>
      <c r="D10" s="8" t="s">
        <v>3</v>
      </c>
    </row>
    <row r="11" ht="15" customHeight="1" spans="1:4">
      <c r="A11" s="8" t="s">
        <v>12</v>
      </c>
      <c r="C11" s="7">
        <f>C9/C10</f>
        <v>0.666666666666667</v>
      </c>
      <c r="D11" s="8" t="s">
        <v>13</v>
      </c>
    </row>
    <row r="12" ht="15" customHeight="1" spans="1:4">
      <c r="A12" s="8" t="s">
        <v>14</v>
      </c>
      <c r="C12" s="7">
        <f>FLOOR(C11,1)</f>
        <v>0</v>
      </c>
      <c r="D12" s="8" t="s">
        <v>13</v>
      </c>
    </row>
    <row r="13" ht="15" customHeight="1"/>
    <row r="14" ht="29" customHeight="1" spans="1:4">
      <c r="A14" s="9" t="s">
        <v>15</v>
      </c>
    </row>
    <row r="15" ht="15" customHeight="1" spans="1:4">
      <c r="A15" s="5" t="s">
        <v>16</v>
      </c>
      <c r="B15" s="5" t="s">
        <v>17</v>
      </c>
    </row>
    <row r="16" ht="15" customHeight="1" spans="1:4">
      <c r="A16" s="5" t="s">
        <v>18</v>
      </c>
      <c r="B16" s="5" t="s">
        <v>19</v>
      </c>
    </row>
    <row r="17" ht="15" customHeight="1" spans="1:2">
      <c r="A17" s="5" t="s">
        <v>20</v>
      </c>
      <c r="B17" s="5" t="s">
        <v>21</v>
      </c>
    </row>
    <row r="18" ht="15" customHeight="1"/>
    <row r="19" ht="29" customHeight="1" spans="1:2">
      <c r="A19" s="9" t="s">
        <v>22</v>
      </c>
    </row>
    <row r="20" ht="15" customHeight="1" spans="1:2">
      <c r="A20" s="10" t="s">
        <v>23</v>
      </c>
    </row>
    <row r="21" ht="15" customHeight="1" spans="1:2">
      <c r="A21" s="10" t="s">
        <v>24</v>
      </c>
    </row>
    <row r="22" ht="15" customHeight="1" spans="1:2">
      <c r="A22" s="10" t="s">
        <v>25</v>
      </c>
    </row>
    <row r="23" ht="15" customHeight="1" spans="1:2">
      <c r="A23" s="10" t="s">
        <v>26</v>
      </c>
    </row>
  </sheetData>
  <mergeCells count="13">
    <mergeCell ref="A1:D1"/>
    <mergeCell ref="A2:D2"/>
    <mergeCell ref="A4:B4"/>
    <mergeCell ref="A9:B9"/>
    <mergeCell ref="A14:D14"/>
    <mergeCell ref="B15:D15"/>
    <mergeCell ref="B16:D16"/>
    <mergeCell ref="B17:D17"/>
    <mergeCell ref="A19:D19"/>
    <mergeCell ref="A20:D20"/>
    <mergeCell ref="A21:D21"/>
    <mergeCell ref="A22:D22"/>
    <mergeCell ref="A23:D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海龟头寸计算器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孙进富</cp:lastModifiedBy>
  <dcterms:created xsi:type="dcterms:W3CDTF">2026-05-08T10:46:45Z</dcterms:created>
  <dcterms:modified xsi:type="dcterms:W3CDTF">2026-05-08T10:50:14Z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9620EAF22C594636BE7170B5CE9FB8F7_13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