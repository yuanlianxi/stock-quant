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交易系统" sheetId="1" r:id="rId1"/>
    <sheet name="交易系统说明" sheetId="8" r:id="rId2"/>
    <sheet name="基础资料" sheetId="3" r:id="rId3"/>
    <sheet name="交易日志" sheetId="7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<sst xmlns="http://schemas.openxmlformats.org/spreadsheetml/2006/main" count="233" uniqueCount="159">
  <si>
    <t>品种</t>
  </si>
  <si>
    <t>每手</t>
  </si>
  <si>
    <t>报价单位</t>
  </si>
  <si>
    <t>变动单位</t>
  </si>
  <si>
    <t>合约日期</t>
  </si>
  <si>
    <t>ATR（N)</t>
  </si>
  <si>
    <t>头寸/次</t>
  </si>
  <si>
    <t>加仓N/2</t>
  </si>
  <si>
    <t>止损2N</t>
  </si>
  <si>
    <t>多空</t>
  </si>
  <si>
    <t>入场点</t>
  </si>
  <si>
    <t>加仓点1</t>
  </si>
  <si>
    <t>加仓点2</t>
  </si>
  <si>
    <t>加仓点3</t>
  </si>
  <si>
    <t>资金总额</t>
  </si>
  <si>
    <t>AG</t>
  </si>
  <si>
    <t>元/千克</t>
  </si>
  <si>
    <t>NI</t>
  </si>
  <si>
    <t>元/吨</t>
  </si>
  <si>
    <t>RB</t>
  </si>
  <si>
    <t>JD</t>
  </si>
  <si>
    <t>元/500千克</t>
  </si>
  <si>
    <t>PB</t>
  </si>
  <si>
    <r>
      <rPr>
        <sz val="16"/>
        <color theme="1"/>
        <rFont val="等线"/>
        <charset val="134"/>
      </rPr>
      <t>5元</t>
    </r>
    <r>
      <rPr>
        <sz val="16"/>
        <color theme="1"/>
        <rFont val="等线"/>
        <charset val="134"/>
      </rPr>
      <t>/吨</t>
    </r>
  </si>
  <si>
    <t>EG</t>
  </si>
  <si>
    <t>SR</t>
  </si>
  <si>
    <t>Y</t>
  </si>
  <si>
    <t>OI</t>
  </si>
  <si>
    <t>PTA</t>
  </si>
  <si>
    <t>AL</t>
  </si>
  <si>
    <t>RM</t>
  </si>
  <si>
    <t>CF</t>
  </si>
  <si>
    <t>PVC</t>
  </si>
  <si>
    <t>CJ912</t>
  </si>
  <si>
    <t>类别</t>
  </si>
  <si>
    <t>内容</t>
  </si>
  <si>
    <t>备注</t>
  </si>
  <si>
    <t>交易品种</t>
  </si>
  <si>
    <t>活跃交易品种，粳米、20号胶、棉纱、纤板、菜籽、郑麦、晚稻、线材、胶板、普麦、早稻、粳稻不交易</t>
  </si>
  <si>
    <t>每季度更新</t>
  </si>
  <si>
    <t>N</t>
  </si>
  <si>
    <t>20日平均ATR</t>
  </si>
  <si>
    <t>头寸</t>
  </si>
  <si>
    <t>1%*资金总额/N*每手交易单位</t>
  </si>
  <si>
    <t>开仓</t>
  </si>
  <si>
    <t>55日突破价格</t>
  </si>
  <si>
    <t>加仓</t>
  </si>
  <si>
    <t>0.5N,1N,1.5N</t>
  </si>
  <si>
    <t>止损</t>
  </si>
  <si>
    <t>2N移动止损，如出现跳空历史单止损不跟随新单动态调整止损</t>
  </si>
  <si>
    <t>退出</t>
  </si>
  <si>
    <t>20日反突破</t>
  </si>
  <si>
    <t>仓位控制</t>
  </si>
  <si>
    <t>同方向不超过12个交易头寸，关联品种不超过10个交易头寸</t>
  </si>
  <si>
    <t>关联品种</t>
  </si>
  <si>
    <t>豆粕、菜粕；豆油、菜油；玉米、淀粉；锰硅、硅铁；螺纹、热卷；金、银</t>
  </si>
  <si>
    <t>待确认，每季度更新</t>
  </si>
  <si>
    <t>交易代码</t>
  </si>
  <si>
    <t>交易单位</t>
  </si>
  <si>
    <t>变动价位</t>
  </si>
  <si>
    <t>保证金</t>
  </si>
  <si>
    <t>黄金</t>
  </si>
  <si>
    <t>AU</t>
  </si>
  <si>
    <t>白银</t>
  </si>
  <si>
    <t>铜</t>
  </si>
  <si>
    <t>CU</t>
  </si>
  <si>
    <t>铝</t>
  </si>
  <si>
    <t>锌</t>
  </si>
  <si>
    <t>ZN</t>
  </si>
  <si>
    <t>铅</t>
  </si>
  <si>
    <t>镍</t>
  </si>
  <si>
    <t>锡</t>
  </si>
  <si>
    <t>SN</t>
  </si>
  <si>
    <t>焦炭</t>
  </si>
  <si>
    <t>J</t>
  </si>
  <si>
    <t>焦煤</t>
  </si>
  <si>
    <t>JM</t>
  </si>
  <si>
    <t>郑煤</t>
  </si>
  <si>
    <t>ZC</t>
  </si>
  <si>
    <t>铁矿</t>
  </si>
  <si>
    <t>I</t>
  </si>
  <si>
    <t>螺纹</t>
  </si>
  <si>
    <t>热卷</t>
  </si>
  <si>
    <t>HC</t>
  </si>
  <si>
    <t>硅铁</t>
  </si>
  <si>
    <t>SF</t>
  </si>
  <si>
    <t>锰硅</t>
  </si>
  <si>
    <t>SM</t>
  </si>
  <si>
    <t>玻璃</t>
  </si>
  <si>
    <t>FG</t>
  </si>
  <si>
    <t>橡胶</t>
  </si>
  <si>
    <t>RU</t>
  </si>
  <si>
    <t>塑料</t>
  </si>
  <si>
    <t>L</t>
  </si>
  <si>
    <t>TA</t>
  </si>
  <si>
    <t>V</t>
  </si>
  <si>
    <t>PP</t>
  </si>
  <si>
    <t>甲醇</t>
  </si>
  <si>
    <t>MA</t>
  </si>
  <si>
    <t>沥青</t>
  </si>
  <si>
    <t>BU</t>
  </si>
  <si>
    <t>豆一</t>
  </si>
  <si>
    <t>A</t>
  </si>
  <si>
    <t>玉米</t>
  </si>
  <si>
    <t>C</t>
  </si>
  <si>
    <t>郑麦</t>
  </si>
  <si>
    <t>WH</t>
  </si>
  <si>
    <t>早稻</t>
  </si>
  <si>
    <t>RI</t>
  </si>
  <si>
    <t>晚稻</t>
  </si>
  <si>
    <t>LR</t>
  </si>
  <si>
    <t>粳稻</t>
  </si>
  <si>
    <t>JR</t>
  </si>
  <si>
    <t>菜籽</t>
  </si>
  <si>
    <t>RS</t>
  </si>
  <si>
    <t>豆粕</t>
  </si>
  <si>
    <t>M</t>
  </si>
  <si>
    <t>菜粕</t>
  </si>
  <si>
    <t>豆油</t>
  </si>
  <si>
    <t>郑油</t>
  </si>
  <si>
    <t>棕榈</t>
  </si>
  <si>
    <t>P</t>
  </si>
  <si>
    <t>郑棉</t>
  </si>
  <si>
    <t>白糖</t>
  </si>
  <si>
    <t>鸡蛋</t>
  </si>
  <si>
    <t>淀粉</t>
  </si>
  <si>
    <t>CS</t>
  </si>
  <si>
    <t>纤板</t>
  </si>
  <si>
    <t>FB</t>
  </si>
  <si>
    <t>胶板</t>
  </si>
  <si>
    <t>BB</t>
  </si>
  <si>
    <t>合约</t>
  </si>
  <si>
    <t>方向</t>
  </si>
  <si>
    <t>成交价</t>
  </si>
  <si>
    <t>成交量</t>
  </si>
  <si>
    <t>成交时间</t>
  </si>
  <si>
    <t>平仓价</t>
  </si>
  <si>
    <t>利润</t>
  </si>
  <si>
    <t>IF1907</t>
  </si>
  <si>
    <t>行标签</t>
  </si>
  <si>
    <t>求和项:利润</t>
  </si>
  <si>
    <t>CU1909</t>
  </si>
  <si>
    <t>AG1912</t>
  </si>
  <si>
    <t>JD1909</t>
  </si>
  <si>
    <t>RB1910</t>
  </si>
  <si>
    <t>EG1909</t>
  </si>
  <si>
    <t>I2001</t>
  </si>
  <si>
    <t>IF1908</t>
  </si>
  <si>
    <t>PB1909</t>
  </si>
  <si>
    <t>OI001</t>
  </si>
  <si>
    <t>SR2001</t>
  </si>
  <si>
    <t>IF1909</t>
  </si>
  <si>
    <t>al1910</t>
  </si>
  <si>
    <t>RM2001</t>
  </si>
  <si>
    <t>CF2001</t>
  </si>
  <si>
    <t>NI1911</t>
  </si>
  <si>
    <t>PVC2001</t>
  </si>
  <si>
    <t>总计</t>
  </si>
  <si>
    <t>i2001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</si>
</sst>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0_);[Red]\(0.00\)"/>
    <numFmt numFmtId="178" formatCode="_ * #,##0_ ;_ * \-#,##0_ ;_ * &quot;-&quot;??_ ;_ @_ "/>
  </numFmts>
  <fonts count="26">
    <font>
      <sz val="11"/>
      <color theme="1"/>
      <name val="宋体"/>
      <charset val="134"/>
      <scheme val="minor"/>
    </font>
    <font>
      <sz val="16"/>
      <color theme="1"/>
      <name val="等线"/>
      <charset val="134"/>
    </font>
    <font>
      <sz val="16"/>
      <color theme="1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11"/>
      <color theme="1"/>
      <name val="Adobe 黑体 Std R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rgb="FFC0C0C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rgb="FFC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0" fillId="0" borderId="0"/>
  </cellStyleXfs>
  <cellXfs count="33">
    <xf numFmtId="0" fontId="0" fillId="0" borderId="0" xfId="0">
      <alignment vertical="center"/>
    </xf>
    <xf numFmtId="0" fontId="1" fillId="0" borderId="0" xfId="0" applyFont="1">
      <alignment vertical="center"/>
    </xf>
    <xf numFmtId="14" fontId="1" fillId="0" borderId="0" xfId="0" applyNumberFormat="1" applyFont="1">
      <alignment vertical="center"/>
    </xf>
    <xf numFmtId="0" fontId="1" fillId="0" borderId="0" xfId="0" applyNumberFormat="1" applyFo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NumberFormat="1" applyBorder="1">
      <alignment vertical="center"/>
    </xf>
    <xf numFmtId="0" fontId="2" fillId="0" borderId="0" xfId="0" applyFont="1">
      <alignment vertical="center"/>
    </xf>
    <xf numFmtId="14" fontId="2" fillId="0" borderId="0" xfId="0" applyNumberFormat="1" applyFont="1">
      <alignment vertical="center"/>
    </xf>
    <xf numFmtId="0" fontId="2" fillId="0" borderId="0" xfId="0" applyNumberFormat="1" applyFont="1">
      <alignment vertical="center"/>
    </xf>
    <xf numFmtId="49" fontId="0" fillId="0" borderId="0" xfId="49" applyNumberFormat="1"/>
    <xf numFmtId="176" fontId="0" fillId="0" borderId="0" xfId="49" applyNumberFormat="1"/>
    <xf numFmtId="177" fontId="0" fillId="0" borderId="0" xfId="49" applyNumberFormat="1"/>
    <xf numFmtId="9" fontId="0" fillId="0" borderId="0" xfId="49" applyNumberFormat="1" applyBorder="1"/>
    <xf numFmtId="0" fontId="0" fillId="0" borderId="0" xfId="49"/>
    <xf numFmtId="49" fontId="3" fillId="2" borderId="1" xfId="49" applyNumberFormat="1" applyFont="1" applyFill="1" applyBorder="1" applyAlignment="1" applyProtection="1">
      <alignment horizontal="center" vertical="center"/>
    </xf>
    <xf numFmtId="49" fontId="4" fillId="0" borderId="1" xfId="49" applyNumberFormat="1" applyFont="1" applyFill="1" applyBorder="1" applyAlignment="1" applyProtection="1">
      <alignment vertical="center" wrapText="1"/>
    </xf>
    <xf numFmtId="176" fontId="4" fillId="0" borderId="1" xfId="49" applyNumberFormat="1" applyFont="1" applyFill="1" applyBorder="1" applyAlignment="1" applyProtection="1">
      <alignment horizontal="right" vertical="center" wrapText="1"/>
    </xf>
    <xf numFmtId="177" fontId="4" fillId="0" borderId="1" xfId="49" applyNumberFormat="1" applyFont="1" applyFill="1" applyBorder="1" applyAlignment="1" applyProtection="1">
      <alignment horizontal="right" vertical="center" wrapText="1"/>
    </xf>
    <xf numFmtId="9" fontId="4" fillId="0" borderId="1" xfId="49" applyNumberFormat="1" applyFont="1" applyFill="1" applyBorder="1" applyAlignment="1" applyProtection="1">
      <alignment horizontal="right" vertical="center" wrapText="1"/>
    </xf>
    <xf numFmtId="0" fontId="1" fillId="0" borderId="0" xfId="0" applyFont="1" applyAlignment="1">
      <alignment horizontal="right" vertical="center"/>
    </xf>
    <xf numFmtId="0" fontId="1" fillId="0" borderId="2" xfId="0" applyFont="1" applyBorder="1">
      <alignment vertical="center"/>
    </xf>
    <xf numFmtId="0" fontId="5" fillId="0" borderId="0" xfId="0" applyFont="1">
      <alignment vertical="center"/>
    </xf>
    <xf numFmtId="43" fontId="1" fillId="0" borderId="0" xfId="0" applyNumberFormat="1" applyFont="1">
      <alignment vertical="center"/>
    </xf>
    <xf numFmtId="0" fontId="1" fillId="0" borderId="0" xfId="0" applyNumberFormat="1" applyFont="1" applyFill="1">
      <alignment vertical="center"/>
    </xf>
    <xf numFmtId="0" fontId="1" fillId="0" borderId="0" xfId="0" applyFont="1" applyFill="1">
      <alignment vertical="center"/>
    </xf>
    <xf numFmtId="0" fontId="1" fillId="0" borderId="2" xfId="0" applyFont="1" applyFill="1" applyBorder="1">
      <alignment vertical="center"/>
    </xf>
    <xf numFmtId="178" fontId="1" fillId="0" borderId="0" xfId="0" applyNumberFormat="1" applyFont="1" applyFill="1">
      <alignment vertical="center"/>
    </xf>
    <xf numFmtId="43" fontId="1" fillId="0" borderId="0" xfId="0" applyNumberFormat="1" applyFont="1" applyFill="1">
      <alignment vertical="center"/>
    </xf>
    <xf numFmtId="0" fontId="2" fillId="0" borderId="0" xfId="0" applyFont="1" applyFill="1">
      <alignment vertical="center"/>
    </xf>
    <xf numFmtId="0" fontId="2" fillId="0" borderId="2" xfId="0" applyFont="1" applyFill="1" applyBorder="1">
      <alignment vertical="center"/>
    </xf>
    <xf numFmtId="178" fontId="2" fillId="0" borderId="0" xfId="0" applyNumberFormat="1" applyFont="1" applyFill="1">
      <alignment vertical="center"/>
    </xf>
    <xf numFmtId="0" fontId="2" fillId="0" borderId="0" xfId="0" applyNumberFormat="1" applyFont="1" applyFill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30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等线"/>
        <scheme val="none"/>
        <charset val="134"/>
        <strike val="0"/>
        <u val="none"/>
        <sz val="16"/>
        <color theme="1"/>
      </font>
    </dxf>
    <dxf>
      <font>
        <name val="等线"/>
        <scheme val="none"/>
        <charset val="134"/>
        <strike val="0"/>
        <u val="none"/>
        <sz val="16"/>
        <color theme="1"/>
      </font>
    </dxf>
    <dxf>
      <font>
        <name val="等线"/>
        <scheme val="none"/>
        <charset val="134"/>
        <strike val="0"/>
        <u val="none"/>
        <sz val="16"/>
        <color theme="1"/>
      </font>
    </dxf>
    <dxf>
      <font>
        <name val="等线"/>
        <scheme val="none"/>
        <charset val="134"/>
        <strike val="0"/>
        <u val="none"/>
        <sz val="16"/>
        <color theme="1"/>
      </font>
      <border>
        <left/>
        <right style="thick">
          <color rgb="FFC00000"/>
        </right>
        <top/>
        <bottom/>
      </border>
    </dxf>
    <dxf>
      <font>
        <name val="等线"/>
        <scheme val="none"/>
        <charset val="134"/>
        <strike val="0"/>
        <u val="none"/>
        <sz val="16"/>
        <color theme="1"/>
      </font>
    </dxf>
    <dxf>
      <font>
        <name val="等线"/>
        <scheme val="none"/>
        <charset val="134"/>
        <strike val="0"/>
        <u val="none"/>
        <sz val="16"/>
        <color theme="1"/>
      </font>
    </dxf>
    <dxf>
      <font>
        <name val="等线"/>
        <scheme val="none"/>
        <charset val="134"/>
        <strike val="0"/>
        <u val="none"/>
        <sz val="16"/>
        <color theme="1"/>
      </font>
      <numFmt numFmtId="43" formatCode="_ * #,##0.00_ ;_ * \-#,##0.00_ ;_ * &quot;-&quot;??_ ;_ @_ "/>
    </dxf>
    <dxf>
      <font>
        <name val="等线"/>
        <scheme val="none"/>
        <charset val="134"/>
        <strike val="0"/>
        <u val="none"/>
        <sz val="16"/>
        <color theme="1"/>
      </font>
      <numFmt numFmtId="0" formatCode="General"/>
    </dxf>
    <dxf>
      <font>
        <name val="等线"/>
        <scheme val="none"/>
        <charset val="134"/>
        <strike val="0"/>
        <u val="none"/>
        <sz val="16"/>
        <color theme="1"/>
      </font>
      <numFmt numFmtId="0" formatCode="General"/>
    </dxf>
    <dxf>
      <font>
        <name val="等线"/>
        <scheme val="none"/>
        <charset val="134"/>
        <strike val="0"/>
        <u val="none"/>
        <sz val="16"/>
        <color theme="1"/>
      </font>
    </dxf>
    <dxf>
      <font>
        <name val="等线"/>
        <scheme val="none"/>
        <charset val="134"/>
        <strike val="0"/>
        <u val="none"/>
        <sz val="16"/>
        <color theme="1"/>
      </font>
    </dxf>
    <dxf>
      <font>
        <name val="等线"/>
        <scheme val="none"/>
        <charset val="134"/>
        <strike val="0"/>
        <u val="none"/>
        <sz val="16"/>
        <color theme="1"/>
      </font>
      <numFmt numFmtId="0" formatCode="General"/>
    </dxf>
    <dxf>
      <font>
        <name val="等线"/>
        <scheme val="none"/>
        <charset val="134"/>
        <strike val="0"/>
        <u val="none"/>
        <sz val="16"/>
        <color theme="1"/>
      </font>
      <numFmt numFmtId="0" formatCode="General"/>
    </dxf>
    <dxf>
      <font>
        <name val="等线"/>
        <scheme val="none"/>
        <charset val="134"/>
        <family val="3"/>
        <b val="0"/>
        <i val="0"/>
        <strike val="0"/>
        <u val="none"/>
        <sz val="16"/>
        <color theme="1"/>
      </font>
      <numFmt numFmtId="0" formatCode="General"/>
      <fill>
        <patternFill patternType="none"/>
      </fill>
    </dxf>
    <dxf>
      <font>
        <name val="等线"/>
        <scheme val="none"/>
        <charset val="134"/>
        <family val="3"/>
        <strike val="0"/>
        <u val="none"/>
        <sz val="16"/>
        <color theme="1"/>
      </font>
      <numFmt numFmtId="0" formatCode="General"/>
    </dxf>
    <dxf>
      <font>
        <name val="等线"/>
        <scheme val="none"/>
        <charset val="134"/>
        <strike val="0"/>
        <u val="none"/>
        <sz val="16"/>
        <color theme="1"/>
      </font>
    </dxf>
    <dxf>
      <font>
        <name val="等线"/>
        <scheme val="none"/>
        <charset val="134"/>
        <family val="3"/>
        <b val="0"/>
        <i val="0"/>
        <strike val="0"/>
        <u val="none"/>
        <sz val="16"/>
        <color theme="1"/>
      </font>
    </dxf>
    <dxf>
      <font>
        <name val="等线"/>
        <scheme val="none"/>
        <charset val="134"/>
        <strike val="0"/>
        <u val="none"/>
        <sz val="16"/>
        <color theme="1"/>
      </font>
    </dxf>
    <dxf>
      <font>
        <name val="等线"/>
        <scheme val="none"/>
        <charset val="134"/>
        <strike val="0"/>
        <u val="none"/>
        <sz val="16"/>
        <color theme="1"/>
      </font>
    </dxf>
    <dxf>
      <font>
        <name val="等线"/>
        <scheme val="none"/>
        <charset val="134"/>
        <strike val="0"/>
        <u val="none"/>
        <sz val="16"/>
        <color theme="1"/>
      </font>
    </dxf>
    <dxf>
      <font>
        <name val="等线"/>
        <scheme val="none"/>
        <charset val="134"/>
        <strike val="0"/>
        <u val="none"/>
        <sz val="16"/>
        <color theme="1"/>
      </font>
      <numFmt numFmtId="14" formatCode="yyyy/m/d"/>
    </dxf>
    <dxf>
      <font>
        <name val="等线"/>
        <scheme val="none"/>
        <charset val="134"/>
        <strike val="0"/>
        <u val="none"/>
        <sz val="16"/>
        <color theme="1"/>
      </font>
    </dxf>
    <dxf>
      <font>
        <name val="等线"/>
        <scheme val="none"/>
        <charset val="134"/>
        <strike val="0"/>
        <u val="none"/>
        <sz val="16"/>
        <color theme="1"/>
      </font>
    </dxf>
    <dxf>
      <font>
        <name val="等线"/>
        <scheme val="none"/>
        <charset val="134"/>
        <strike val="0"/>
        <u val="none"/>
        <sz val="16"/>
        <color theme="1"/>
      </font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6" refreshedVersion="6" minRefreshableVersion="3" refreshedDate="43711.8584048611" refreshedBy="欧阳立志" recordCount="38">
  <cacheSource type="worksheet">
    <worksheetSource name="表4"/>
  </cacheSource>
  <cacheFields count="9">
    <cacheField name="合约" numFmtId="0">
      <sharedItems count="17">
        <s v="IF1907"/>
        <s v="CU1909"/>
        <s v="JD1909"/>
        <s v="RB1910"/>
        <s v="AG1912"/>
        <s v="PB1909"/>
        <s v="IF1908"/>
        <s v="EG1909"/>
        <s v="SR2001"/>
        <s v="I2001"/>
        <s v="OI001"/>
        <s v="IF1909"/>
        <s v="al1910"/>
        <s v="RM2001"/>
        <s v="CF2001"/>
        <s v="NI1911"/>
        <s v="PVC2001"/>
      </sharedItems>
    </cacheField>
    <cacheField name="每手" numFmtId="0"/>
    <cacheField name="方向" numFmtId="0"/>
    <cacheField name="成交价" numFmtId="0"/>
    <cacheField name="成交量" numFmtId="0"/>
    <cacheField name="成交时间" numFmtId="14"/>
    <cacheField name="止损" numFmtId="0"/>
    <cacheField name="平仓价" numFmtId="0"/>
    <cacheField name="利润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x v="0"/>
    <n v="300"/>
    <n v="-1"/>
    <n v="3869.2"/>
    <n v="1"/>
    <d v="2019-07-01T00:00:00"/>
    <m/>
    <n v="3805.93"/>
    <n v="18980.999999999993"/>
  </r>
  <r>
    <x v="1"/>
    <n v="5"/>
    <n v="1"/>
    <n v="46500"/>
    <n v="1"/>
    <d v="2019-07-01T00:00:00"/>
    <m/>
    <n v="46450"/>
    <n v="-250"/>
  </r>
  <r>
    <x v="2"/>
    <n v="10"/>
    <n v="1"/>
    <n v="4663"/>
    <n v="14"/>
    <d v="2019-07-01T00:00:00"/>
    <n v="4545"/>
    <n v="4432"/>
    <n v="-32340"/>
  </r>
  <r>
    <x v="3"/>
    <n v="10"/>
    <n v="1"/>
    <n v="4026.2"/>
    <n v="10"/>
    <d v="2019-07-01T00:00:00"/>
    <n v="3911"/>
    <n v="3909.1"/>
    <n v="-11709.999999999991"/>
  </r>
  <r>
    <x v="4"/>
    <n v="15"/>
    <n v="1"/>
    <n v="3765"/>
    <n v="6"/>
    <d v="2019-07-17T00:00:00"/>
    <n v="3739.5"/>
    <m/>
    <n v="0"/>
  </r>
  <r>
    <x v="4"/>
    <n v="15"/>
    <n v="1"/>
    <n v="3788"/>
    <n v="6"/>
    <d v="2019-07-17T00:00:00"/>
    <n v="3739.5"/>
    <m/>
    <n v="0"/>
  </r>
  <r>
    <x v="4"/>
    <n v="15"/>
    <n v="1"/>
    <n v="3812"/>
    <n v="6"/>
    <d v="2019-07-18T00:00:00"/>
    <n v="3739.5"/>
    <m/>
    <n v="0"/>
  </r>
  <r>
    <x v="4"/>
    <n v="15"/>
    <n v="1"/>
    <n v="3835"/>
    <n v="6"/>
    <d v="2019-07-18T00:00:00"/>
    <n v="3739.5"/>
    <m/>
    <n v="0"/>
  </r>
  <r>
    <x v="5"/>
    <n v="5"/>
    <n v="1"/>
    <n v="16555"/>
    <n v="4"/>
    <d v="2019-07-24T00:00:00"/>
    <n v="16194"/>
    <n v="16745"/>
    <n v="3800"/>
  </r>
  <r>
    <x v="5"/>
    <n v="5"/>
    <n v="1"/>
    <n v="16675"/>
    <n v="4"/>
    <d v="2019-07-25T00:00:00"/>
    <n v="16194"/>
    <n v="16745"/>
    <n v="1400"/>
  </r>
  <r>
    <x v="6"/>
    <n v="300"/>
    <n v="-1"/>
    <n v="3801.2"/>
    <n v="1"/>
    <d v="2019-07-22T00:00:00"/>
    <m/>
    <n v="3804"/>
    <n v="-840.00000000005457"/>
  </r>
  <r>
    <x v="6"/>
    <n v="300"/>
    <n v="1"/>
    <n v="3803.8"/>
    <n v="1"/>
    <d v="2019-07-24T00:00:00"/>
    <m/>
    <n v="3724"/>
    <n v="-23940.000000000055"/>
  </r>
  <r>
    <x v="7"/>
    <n v="10"/>
    <n v="1"/>
    <n v="4663"/>
    <n v="5"/>
    <d v="2019-07-30T00:00:00"/>
    <n v="4458"/>
    <n v="4537"/>
    <n v="-6300"/>
  </r>
  <r>
    <x v="8"/>
    <n v="10"/>
    <n v="1"/>
    <n v="5391"/>
    <n v="6"/>
    <d v="2019-08-01T00:00:00"/>
    <m/>
    <n v="5326"/>
    <n v="-3900"/>
  </r>
  <r>
    <x v="6"/>
    <n v="300"/>
    <n v="-1"/>
    <n v="3724"/>
    <n v="1"/>
    <d v="2019-08-02T00:00:00"/>
    <m/>
    <n v="3675.6"/>
    <n v="14520.000000000027"/>
  </r>
  <r>
    <x v="9"/>
    <n v="100"/>
    <n v="-1"/>
    <n v="732.25"/>
    <n v="4"/>
    <d v="2019-08-02T00:00:00"/>
    <m/>
    <n v="614"/>
    <n v="47300"/>
  </r>
  <r>
    <x v="10"/>
    <n v="10"/>
    <n v="1"/>
    <n v="7120"/>
    <n v="8"/>
    <d v="2019-08-06T00:00:00"/>
    <n v="7087"/>
    <m/>
    <n v="0"/>
  </r>
  <r>
    <x v="10"/>
    <n v="10"/>
    <n v="1"/>
    <n v="7152"/>
    <n v="8"/>
    <d v="2019-08-08T00:00:00"/>
    <n v="7087"/>
    <m/>
    <n v="0"/>
  </r>
  <r>
    <x v="10"/>
    <n v="10"/>
    <n v="1"/>
    <n v="7185"/>
    <n v="8"/>
    <d v="2019-08-08T00:00:00"/>
    <n v="7087"/>
    <m/>
    <n v="0"/>
  </r>
  <r>
    <x v="10"/>
    <n v="10"/>
    <n v="1"/>
    <n v="7216"/>
    <n v="8"/>
    <d v="2019-08-09T00:00:00"/>
    <n v="7087"/>
    <m/>
    <n v="0"/>
  </r>
  <r>
    <x v="8"/>
    <n v="10"/>
    <n v="1"/>
    <n v="5492"/>
    <n v="1"/>
    <d v="2019-08-12T00:00:00"/>
    <m/>
    <n v="5555"/>
    <n v="630"/>
  </r>
  <r>
    <x v="6"/>
    <n v="300"/>
    <n v="-1"/>
    <n v="3675.4"/>
    <n v="1"/>
    <d v="2019-08-12T00:00:00"/>
    <m/>
    <n v="3677.4"/>
    <n v="-600"/>
  </r>
  <r>
    <x v="6"/>
    <n v="300"/>
    <n v="1"/>
    <n v="3677.4"/>
    <n v="1"/>
    <d v="2019-08-14T00:00:00"/>
    <m/>
    <n v="3726.3"/>
    <n v="14670.000000000027"/>
  </r>
  <r>
    <x v="11"/>
    <n v="300"/>
    <n v="1"/>
    <n v="3705.4"/>
    <n v="1"/>
    <d v="2019-08-19T00:00:00"/>
    <m/>
    <n v="3755.8"/>
    <n v="15120.000000000027"/>
  </r>
  <r>
    <x v="9"/>
    <n v="100"/>
    <n v="1"/>
    <n v="634"/>
    <n v="1"/>
    <d v="2019-08-19T00:00:00"/>
    <m/>
    <n v="616.5"/>
    <n v="-1750"/>
  </r>
  <r>
    <x v="9"/>
    <n v="100"/>
    <n v="-1"/>
    <n v="609.5"/>
    <n v="5"/>
    <d v="2019-08-19T00:00:00"/>
    <m/>
    <n v="618.5"/>
    <n v="-4500"/>
  </r>
  <r>
    <x v="12"/>
    <n v="5"/>
    <n v="1"/>
    <n v="14270"/>
    <n v="9"/>
    <d v="2019-08-15T00:00:00"/>
    <m/>
    <n v="14340"/>
    <n v="3150"/>
  </r>
  <r>
    <x v="12"/>
    <n v="5"/>
    <n v="1"/>
    <n v="14325"/>
    <n v="9"/>
    <d v="2019-08-19T00:00:00"/>
    <n v="14195"/>
    <n v="14225"/>
    <n v="-4500"/>
  </r>
  <r>
    <x v="12"/>
    <n v="5"/>
    <n v="1"/>
    <n v="14430"/>
    <n v="9"/>
    <d v="2019-08-19T00:00:00"/>
    <n v="14195"/>
    <n v="14225"/>
    <n v="-9225"/>
  </r>
  <r>
    <x v="12"/>
    <n v="5"/>
    <n v="1"/>
    <n v="14345"/>
    <n v="18"/>
    <d v="2019-08-21T00:00:00"/>
    <n v="14225"/>
    <n v="14225"/>
    <n v="-10800"/>
  </r>
  <r>
    <x v="13"/>
    <n v="10"/>
    <n v="1"/>
    <n v="2414"/>
    <n v="12"/>
    <d v="2019-08-26T00:00:00"/>
    <n v="2373"/>
    <n v="2373"/>
    <n v="-4920"/>
  </r>
  <r>
    <x v="11"/>
    <n v="300"/>
    <n v="-1"/>
    <n v="3755.6"/>
    <n v="1"/>
    <d v="2019-08-26T00:00:00"/>
    <m/>
    <n v="3820.4"/>
    <n v="-19440.000000000055"/>
  </r>
  <r>
    <x v="14"/>
    <n v="5"/>
    <n v="-1"/>
    <n v="12260"/>
    <n v="4"/>
    <d v="2019-08-26T00:00:00"/>
    <n v="12495"/>
    <n v="12495"/>
    <n v="-4700"/>
  </r>
  <r>
    <x v="11"/>
    <n v="300"/>
    <n v="1"/>
    <n v="3820.4"/>
    <n v="1"/>
    <d v="2019-08-27T00:00:00"/>
    <m/>
    <n v="3775.6"/>
    <n v="-13440.000000000055"/>
  </r>
  <r>
    <x v="11"/>
    <n v="300"/>
    <n v="-1"/>
    <n v="3775.4"/>
    <n v="1"/>
    <d v="2019-08-29T00:00:00"/>
    <m/>
    <m/>
    <n v="0"/>
  </r>
  <r>
    <x v="15"/>
    <n v="1"/>
    <n v="1"/>
    <n v="128000"/>
    <n v="1"/>
    <d v="2019-08-29T00:00:00"/>
    <n v="122572"/>
    <m/>
    <n v="0"/>
  </r>
  <r>
    <x v="15"/>
    <n v="1"/>
    <n v="1"/>
    <n v="129800"/>
    <n v="1"/>
    <d v="2019-08-30T00:00:00"/>
    <n v="122572"/>
    <m/>
    <n v="0"/>
  </r>
  <r>
    <x v="16"/>
    <n v="5"/>
    <n v="-1"/>
    <n v="6380"/>
    <n v="14"/>
    <d v="2019-08-30T00:00:00"/>
    <n v="6525"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6" minRefreshableVersion="3" createdVersion="6" useAutoFormatting="1" indent="0" outline="1" outlineData="1" showDrill="1" multipleFieldFilters="0">
  <location ref="K2:L20" firstHeaderRow="1" firstDataRow="1" firstDataCol="1"/>
  <pivotFields count="9">
    <pivotField axis="axisRow" showAll="0">
      <items count="18">
        <item x="4"/>
        <item x="1"/>
        <item x="7"/>
        <item x="9"/>
        <item x="0"/>
        <item x="6"/>
        <item x="2"/>
        <item x="10"/>
        <item x="5"/>
        <item x="3"/>
        <item x="8"/>
        <item x="11"/>
        <item x="12"/>
        <item x="13"/>
        <item x="14"/>
        <item x="15"/>
        <item x="16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dataField="1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求和项:利润" fld="8" baseField="0" baseItem="0"/>
  </dataFields>
  <formats count="6">
    <format dxfId="0">
      <pivotArea type="all" dataOnly="0" outline="0" fieldPosition="0"/>
    </format>
    <format dxfId="1">
      <pivotArea outline="0" collapsedLevelsAreSubtotals="1" fieldPosition="0"/>
    </format>
    <format dxfId="2">
      <pivotArea field="0" type="button" dataOnly="0" labelOnly="1" outline="0" fieldPosition="0"/>
    </format>
    <format dxfId="3">
      <pivotArea dataOnly="0" labelOnly="1" fieldPosition="0">
        <references count="1">
          <reference field="0" count="0"/>
        </references>
      </pivotArea>
    </format>
    <format dxfId="4">
      <pivotArea dataOnly="0" labelOnly="1" grandRow="1" outline="0" fieldPosition="0"/>
    </format>
    <format dxfId="5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3" name="表3" displayName="表3" ref="A1:O19" totalsRowShown="0">
  <tableColumns count="15">
    <tableColumn id="1" name="品种" dataDxfId="6"/>
    <tableColumn id="2" name="每手" dataDxfId="7"/>
    <tableColumn id="3" name="报价单位" dataDxfId="8"/>
    <tableColumn id="4" name="变动单位" dataDxfId="9"/>
    <tableColumn id="5" name="合约日期" dataDxfId="10"/>
    <tableColumn id="6" name="ATR（N)" dataDxfId="11"/>
    <tableColumn id="7" name="头寸/次" dataDxfId="12">
      <calculatedColumnFormula>TRUNC(O2*1%)/(F2*B2)</calculatedColumnFormula>
    </tableColumn>
    <tableColumn id="8" name="加仓N/2" dataDxfId="13">
      <calculatedColumnFormula>表3[[#This Row],[ATR（N)]]/2</calculatedColumnFormula>
    </tableColumn>
    <tableColumn id="9" name="止损2N" dataDxfId="14">
      <calculatedColumnFormula>表3[[#This Row],[ATR（N)]]*2</calculatedColumnFormula>
    </tableColumn>
    <tableColumn id="14" name="多空" dataDxfId="15"/>
    <tableColumn id="10" name="入场点" dataDxfId="16"/>
    <tableColumn id="11" name="加仓点1" dataDxfId="17">
      <calculatedColumnFormula>K2+H2*表3[[#This Row],[多空]]</calculatedColumnFormula>
    </tableColumn>
    <tableColumn id="12" name="加仓点2" dataDxfId="18">
      <calculatedColumnFormula>L2+H2*表3[[#This Row],[多空]]</calculatedColumnFormula>
    </tableColumn>
    <tableColumn id="15" name="加仓点3" dataDxfId="19">
      <calculatedColumnFormula>M2+H2*表3[[#This Row],[多空]]</calculatedColumnFormula>
    </tableColumn>
    <tableColumn id="13" name="资金总额" dataDxfId="2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5" name="表5" displayName="表5" ref="A1:C10" totalsRowShown="0">
  <tableColumns count="3">
    <tableColumn id="1" name="类别"/>
    <tableColumn id="2" name="内容"/>
    <tableColumn id="3" name="备注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4" name="表4" displayName="表4" ref="A1:I41" totalsRowShown="0">
  <autoFilter xmlns:etc="http://www.wps.cn/officeDocument/2017/etCustomData" ref="A1:I41" etc:filterBottomFollowUsedRange="0"/>
  <tableColumns count="9">
    <tableColumn id="1" name="合约" dataDxfId="21"/>
    <tableColumn id="9" name="每手" dataDxfId="22"/>
    <tableColumn id="2" name="方向" dataDxfId="23"/>
    <tableColumn id="3" name="成交价" dataDxfId="24"/>
    <tableColumn id="4" name="成交量" dataDxfId="25"/>
    <tableColumn id="5" name="成交时间" dataDxfId="26"/>
    <tableColumn id="6" name="止损" dataDxfId="27"/>
    <tableColumn id="7" name="平仓价" dataDxfId="28"/>
    <tableColumn id="8" name="利润" dataDxfId="29">
      <calculatedColumnFormula>IF(表4[[#This Row],[平仓价]]=0,0,(H2-D2)*C2*E2*表4[[#This Row],[每手]])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"/>
  <sheetViews>
    <sheetView tabSelected="1" zoomScale="80" zoomScaleNormal="80" workbookViewId="0">
      <selection activeCell="F4" sqref="F4"/>
    </sheetView>
  </sheetViews>
  <sheetFormatPr defaultColWidth="9" defaultRowHeight="20.25"/>
  <cols>
    <col min="1" max="1" width="8.73333333333333" style="1" customWidth="1"/>
    <col min="2" max="2" width="7.13333333333333" style="1" customWidth="1"/>
    <col min="3" max="3" width="16" style="20" customWidth="1"/>
    <col min="4" max="4" width="13" style="21" customWidth="1"/>
    <col min="5" max="5" width="13" style="1" customWidth="1"/>
    <col min="6" max="6" width="12.8" style="1" customWidth="1"/>
    <col min="7" max="7" width="11.2666666666667" style="1" customWidth="1"/>
    <col min="8" max="8" width="12.2666666666667" style="1" customWidth="1"/>
    <col min="9" max="9" width="11" style="1" customWidth="1"/>
    <col min="10" max="10" width="7.13333333333333" style="1" customWidth="1"/>
    <col min="11" max="11" width="10.6" style="1" customWidth="1"/>
    <col min="12" max="12" width="15.4666666666667" style="1" customWidth="1"/>
    <col min="13" max="13" width="13.8" style="1" customWidth="1"/>
    <col min="14" max="14" width="15.4666666666667" style="1" customWidth="1"/>
    <col min="15" max="15" width="13" style="1" customWidth="1"/>
    <col min="16" max="16384" width="9" style="22"/>
  </cols>
  <sheetData>
    <row r="1" spans="1:15">
      <c r="A1" s="1" t="s">
        <v>0</v>
      </c>
      <c r="B1" s="1" t="s">
        <v>1</v>
      </c>
      <c r="C1" s="1" t="s">
        <v>2</v>
      </c>
      <c r="D1" s="2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1" t="s">
        <v>15</v>
      </c>
      <c r="B2" s="1">
        <v>15</v>
      </c>
      <c r="C2" s="1" t="s">
        <v>16</v>
      </c>
      <c r="D2" s="21">
        <v>1</v>
      </c>
      <c r="E2" s="1">
        <v>1912</v>
      </c>
      <c r="F2" s="1">
        <v>20</v>
      </c>
      <c r="G2" s="23">
        <f t="shared" ref="G2:G19" si="0">TRUNC(O2*1%)/(F2*B2)</f>
        <v>16.6666666666667</v>
      </c>
      <c r="H2" s="1">
        <f>表3[[#This Row],[ATR（N)]]/2</f>
        <v>10</v>
      </c>
      <c r="I2" s="1">
        <f>表3[[#This Row],[ATR（N)]]*2</f>
        <v>40</v>
      </c>
      <c r="J2" s="1">
        <v>1</v>
      </c>
      <c r="K2" s="1">
        <v>3765</v>
      </c>
      <c r="L2" s="1">
        <f>K2+H2*表3[[#This Row],[多空]]</f>
        <v>3775</v>
      </c>
      <c r="M2" s="1">
        <f>L2+H2*表3[[#This Row],[多空]]</f>
        <v>3785</v>
      </c>
      <c r="N2" s="1">
        <f>M2+H2*表3[[#This Row],[多空]]</f>
        <v>3795</v>
      </c>
      <c r="O2" s="24">
        <v>500000</v>
      </c>
    </row>
    <row r="3" spans="1:15">
      <c r="A3" s="25" t="s">
        <v>17</v>
      </c>
      <c r="B3" s="25">
        <v>1</v>
      </c>
      <c r="C3" s="25" t="s">
        <v>18</v>
      </c>
      <c r="D3" s="26">
        <v>10</v>
      </c>
      <c r="E3" s="25">
        <v>1908</v>
      </c>
      <c r="F3" s="25">
        <v>30</v>
      </c>
      <c r="G3" s="27">
        <f t="shared" si="0"/>
        <v>166.666666666667</v>
      </c>
      <c r="H3" s="25">
        <f>表3[[#This Row],[ATR（N)]]/2</f>
        <v>15</v>
      </c>
      <c r="I3" s="25">
        <f>表3[[#This Row],[ATR（N)]]*2</f>
        <v>60</v>
      </c>
      <c r="J3" s="25">
        <v>1</v>
      </c>
      <c r="K3" s="25">
        <v>103000</v>
      </c>
      <c r="L3" s="25">
        <f>K3+H3*表3[[#This Row],[多空]]</f>
        <v>103015</v>
      </c>
      <c r="M3" s="25">
        <f>L3+H3*表3[[#This Row],[多空]]</f>
        <v>103030</v>
      </c>
      <c r="N3" s="25">
        <f>M3+H3*表3[[#This Row],[多空]]</f>
        <v>103045</v>
      </c>
      <c r="O3" s="24">
        <v>500000</v>
      </c>
    </row>
    <row r="4" spans="1:15">
      <c r="A4" s="25" t="s">
        <v>19</v>
      </c>
      <c r="B4" s="25">
        <v>10</v>
      </c>
      <c r="C4" s="25" t="s">
        <v>18</v>
      </c>
      <c r="D4" s="26">
        <v>1</v>
      </c>
      <c r="E4" s="25">
        <v>1910</v>
      </c>
      <c r="F4" s="25">
        <v>79.05</v>
      </c>
      <c r="G4" s="27">
        <f t="shared" si="0"/>
        <v>6.32511068943707</v>
      </c>
      <c r="H4" s="24">
        <f>表3[[#This Row],[ATR（N)]]/2</f>
        <v>39.525</v>
      </c>
      <c r="I4" s="24">
        <f>表3[[#This Row],[ATR（N)]]*2</f>
        <v>158.1</v>
      </c>
      <c r="J4" s="1">
        <v>1</v>
      </c>
      <c r="K4" s="25">
        <v>3947</v>
      </c>
      <c r="L4" s="24">
        <f>K4+H4*表3[[#This Row],[多空]]</f>
        <v>3986.525</v>
      </c>
      <c r="M4" s="24">
        <f>L4+H4*表3[[#This Row],[多空]]</f>
        <v>4026.05</v>
      </c>
      <c r="N4" s="24">
        <f>M4+H4*表3[[#This Row],[多空]]</f>
        <v>4065.575</v>
      </c>
      <c r="O4" s="24">
        <v>500000</v>
      </c>
    </row>
    <row r="5" spans="1:15">
      <c r="A5" s="25" t="s">
        <v>20</v>
      </c>
      <c r="B5" s="25">
        <v>10</v>
      </c>
      <c r="C5" s="25" t="s">
        <v>21</v>
      </c>
      <c r="D5" s="26">
        <v>1</v>
      </c>
      <c r="E5" s="25">
        <v>1909</v>
      </c>
      <c r="F5" s="25">
        <v>76.5</v>
      </c>
      <c r="G5" s="27">
        <f t="shared" si="0"/>
        <v>6.5359477124183</v>
      </c>
      <c r="H5" s="24">
        <f>表3[[#This Row],[ATR（N)]]/2</f>
        <v>38.25</v>
      </c>
      <c r="I5" s="24">
        <f>表3[[#This Row],[ATR（N)]]*2</f>
        <v>153</v>
      </c>
      <c r="J5" s="1">
        <v>1</v>
      </c>
      <c r="K5" s="25">
        <v>4578</v>
      </c>
      <c r="L5" s="24">
        <f>K5+H5*表3[[#This Row],[多空]]</f>
        <v>4616.25</v>
      </c>
      <c r="M5" s="24">
        <f>L5+H5*表3[[#This Row],[多空]]</f>
        <v>4654.5</v>
      </c>
      <c r="N5" s="24">
        <f>M5+H5*表3[[#This Row],[多空]]</f>
        <v>4692.75</v>
      </c>
      <c r="O5" s="24">
        <v>500000</v>
      </c>
    </row>
    <row r="6" spans="1:15">
      <c r="A6" s="25" t="s">
        <v>22</v>
      </c>
      <c r="B6" s="25">
        <v>5</v>
      </c>
      <c r="C6" s="25" t="s">
        <v>23</v>
      </c>
      <c r="D6" s="26">
        <v>5</v>
      </c>
      <c r="E6" s="25">
        <v>1909</v>
      </c>
      <c r="F6" s="25">
        <v>240.5</v>
      </c>
      <c r="G6" s="27">
        <f t="shared" si="0"/>
        <v>4.15800415800416</v>
      </c>
      <c r="H6" s="24">
        <f>表3[[#This Row],[ATR（N)]]/2</f>
        <v>120.25</v>
      </c>
      <c r="I6" s="24">
        <f>表3[[#This Row],[ATR（N)]]*2</f>
        <v>481</v>
      </c>
      <c r="J6" s="1">
        <v>1</v>
      </c>
      <c r="K6" s="25">
        <v>16320</v>
      </c>
      <c r="L6" s="24">
        <f>K6+H6*表3[[#This Row],[多空]]</f>
        <v>16440.25</v>
      </c>
      <c r="M6" s="24">
        <f>L6+H6*表3[[#This Row],[多空]]</f>
        <v>16560.5</v>
      </c>
      <c r="N6" s="24">
        <f>M6+H6*表3[[#This Row],[多空]]</f>
        <v>16680.75</v>
      </c>
      <c r="O6" s="24">
        <v>500000</v>
      </c>
    </row>
    <row r="7" spans="1:15">
      <c r="A7" s="25" t="s">
        <v>24</v>
      </c>
      <c r="B7" s="25">
        <v>10</v>
      </c>
      <c r="C7" s="25" t="s">
        <v>18</v>
      </c>
      <c r="D7" s="26">
        <v>1</v>
      </c>
      <c r="E7" s="25">
        <v>1909</v>
      </c>
      <c r="F7" s="25">
        <v>102.35</v>
      </c>
      <c r="G7" s="27">
        <f t="shared" si="0"/>
        <v>4.88519785051295</v>
      </c>
      <c r="H7" s="24">
        <f>表3[[#This Row],[ATR（N)]]/2</f>
        <v>51.175</v>
      </c>
      <c r="I7" s="24">
        <f>表3[[#This Row],[ATR（N)]]*2</f>
        <v>204.7</v>
      </c>
      <c r="J7" s="1">
        <v>1</v>
      </c>
      <c r="K7" s="25">
        <v>4612</v>
      </c>
      <c r="L7" s="24">
        <f>K7+H7*表3[[#This Row],[多空]]</f>
        <v>4663.175</v>
      </c>
      <c r="M7" s="24">
        <f>L7+H7*表3[[#This Row],[多空]]</f>
        <v>4714.35</v>
      </c>
      <c r="N7" s="24">
        <f>M7+H7*表3[[#This Row],[多空]]</f>
        <v>4765.525</v>
      </c>
      <c r="O7" s="24">
        <v>500000</v>
      </c>
    </row>
    <row r="8" spans="1:15">
      <c r="A8" s="25" t="s">
        <v>25</v>
      </c>
      <c r="B8" s="25">
        <v>10</v>
      </c>
      <c r="C8" s="25" t="s">
        <v>18</v>
      </c>
      <c r="D8" s="26">
        <v>1</v>
      </c>
      <c r="E8" s="25">
        <v>2001</v>
      </c>
      <c r="F8" s="25">
        <v>83.5</v>
      </c>
      <c r="G8" s="27">
        <f t="shared" si="0"/>
        <v>5.98802395209581</v>
      </c>
      <c r="H8" s="24">
        <f>表3[[#This Row],[ATR（N)]]/2</f>
        <v>41.75</v>
      </c>
      <c r="I8" s="24">
        <f>表3[[#This Row],[ATR（N)]]*2</f>
        <v>167</v>
      </c>
      <c r="J8" s="1">
        <v>1</v>
      </c>
      <c r="K8" s="25">
        <v>5266</v>
      </c>
      <c r="L8" s="24">
        <f>K8+H8*表3[[#This Row],[多空]]</f>
        <v>5307.75</v>
      </c>
      <c r="M8" s="24">
        <f>L8+H8*表3[[#This Row],[多空]]</f>
        <v>5349.5</v>
      </c>
      <c r="N8" s="24">
        <f>M8+H8*表3[[#This Row],[多空]]</f>
        <v>5391.25</v>
      </c>
      <c r="O8" s="24">
        <v>500000</v>
      </c>
    </row>
    <row r="9" spans="1:15">
      <c r="A9" s="25" t="s">
        <v>26</v>
      </c>
      <c r="B9" s="25">
        <v>10</v>
      </c>
      <c r="C9" s="25" t="s">
        <v>18</v>
      </c>
      <c r="D9" s="26">
        <v>2</v>
      </c>
      <c r="E9" s="25">
        <v>2001</v>
      </c>
      <c r="F9" s="25">
        <v>61.9</v>
      </c>
      <c r="G9" s="27">
        <f t="shared" si="0"/>
        <v>8.07754442649435</v>
      </c>
      <c r="H9" s="24">
        <f>表3[[#This Row],[ATR（N)]]/2</f>
        <v>30.95</v>
      </c>
      <c r="I9" s="24">
        <f>表3[[#This Row],[ATR（N)]]*2</f>
        <v>123.8</v>
      </c>
      <c r="J9" s="1">
        <v>1</v>
      </c>
      <c r="K9" s="25">
        <v>5734</v>
      </c>
      <c r="L9" s="24">
        <f>K9+H9*表3[[#This Row],[多空]]</f>
        <v>5764.95</v>
      </c>
      <c r="M9" s="24">
        <f>L9+H9*表3[[#This Row],[多空]]</f>
        <v>5795.9</v>
      </c>
      <c r="N9" s="24">
        <f>M9+H9*表3[[#This Row],[多空]]</f>
        <v>5826.85</v>
      </c>
      <c r="O9" s="24">
        <v>500000</v>
      </c>
    </row>
    <row r="10" spans="1:15">
      <c r="A10" s="25" t="s">
        <v>27</v>
      </c>
      <c r="B10" s="25">
        <v>10</v>
      </c>
      <c r="C10" s="25" t="s">
        <v>18</v>
      </c>
      <c r="D10" s="26">
        <v>1</v>
      </c>
      <c r="E10" s="25">
        <v>2001</v>
      </c>
      <c r="F10" s="25">
        <v>64.6</v>
      </c>
      <c r="G10" s="27">
        <f t="shared" si="0"/>
        <v>7.73993808049536</v>
      </c>
      <c r="H10" s="24">
        <f>表3[[#This Row],[ATR（N)]]/2</f>
        <v>32.3</v>
      </c>
      <c r="I10" s="24">
        <f>表3[[#This Row],[ATR（N)]]*2</f>
        <v>129.2</v>
      </c>
      <c r="J10" s="1">
        <v>1</v>
      </c>
      <c r="K10" s="25">
        <v>7120</v>
      </c>
      <c r="L10" s="24">
        <f>K10+H10*表3[[#This Row],[多空]]</f>
        <v>7152.3</v>
      </c>
      <c r="M10" s="24">
        <f>L10+H10*表3[[#This Row],[多空]]</f>
        <v>7184.6</v>
      </c>
      <c r="N10" s="24">
        <f>M10+H10*表3[[#This Row],[多空]]</f>
        <v>7216.9</v>
      </c>
      <c r="O10" s="24">
        <v>500000</v>
      </c>
    </row>
    <row r="11" spans="1:15">
      <c r="A11" s="25" t="s">
        <v>28</v>
      </c>
      <c r="B11" s="25">
        <v>5</v>
      </c>
      <c r="C11" s="25" t="s">
        <v>18</v>
      </c>
      <c r="D11" s="26">
        <v>2</v>
      </c>
      <c r="E11" s="25">
        <v>2001</v>
      </c>
      <c r="F11" s="25">
        <v>147.4</v>
      </c>
      <c r="G11" s="28">
        <f t="shared" si="0"/>
        <v>6.7842605156038</v>
      </c>
      <c r="H11" s="24">
        <f>表3[[#This Row],[ATR（N)]]/2</f>
        <v>73.7</v>
      </c>
      <c r="I11" s="24">
        <f>表3[[#This Row],[ATR（N)]]*2</f>
        <v>294.8</v>
      </c>
      <c r="J11" s="1">
        <v>-1</v>
      </c>
      <c r="K11" s="25">
        <v>5082</v>
      </c>
      <c r="L11" s="24">
        <f>K11+H11*表3[[#This Row],[多空]]</f>
        <v>5008.3</v>
      </c>
      <c r="M11" s="24">
        <f>L11+H11*表3[[#This Row],[多空]]</f>
        <v>4934.6</v>
      </c>
      <c r="N11" s="24">
        <f>M11+H11*表3[[#This Row],[多空]]</f>
        <v>4860.9</v>
      </c>
      <c r="O11" s="24">
        <v>500000</v>
      </c>
    </row>
    <row r="12" spans="1:15">
      <c r="A12" s="25" t="s">
        <v>29</v>
      </c>
      <c r="B12" s="25">
        <v>5</v>
      </c>
      <c r="C12" s="25" t="s">
        <v>18</v>
      </c>
      <c r="D12" s="26">
        <v>5</v>
      </c>
      <c r="E12" s="25">
        <v>1910</v>
      </c>
      <c r="F12" s="25">
        <v>119.25</v>
      </c>
      <c r="G12" s="28">
        <f t="shared" si="0"/>
        <v>8.38574423480084</v>
      </c>
      <c r="H12" s="24">
        <f>表3[[#This Row],[ATR（N)]]/2</f>
        <v>59.625</v>
      </c>
      <c r="I12" s="24">
        <f>表3[[#This Row],[ATR（N)]]*2</f>
        <v>238.5</v>
      </c>
      <c r="J12" s="1">
        <v>1</v>
      </c>
      <c r="K12" s="25">
        <v>14270</v>
      </c>
      <c r="L12" s="24">
        <f>K12+H12*表3[[#This Row],[多空]]</f>
        <v>14329.625</v>
      </c>
      <c r="M12" s="24">
        <f>L12+H12*表3[[#This Row],[多空]]</f>
        <v>14389.25</v>
      </c>
      <c r="N12" s="24">
        <f>M12+H12*表3[[#This Row],[多空]]</f>
        <v>14448.875</v>
      </c>
      <c r="O12" s="24">
        <v>500000</v>
      </c>
    </row>
    <row r="13" spans="1:15">
      <c r="A13" s="29" t="s">
        <v>30</v>
      </c>
      <c r="B13" s="29">
        <v>10</v>
      </c>
      <c r="C13" s="25" t="s">
        <v>18</v>
      </c>
      <c r="D13" s="30">
        <v>1</v>
      </c>
      <c r="E13" s="29">
        <v>2001</v>
      </c>
      <c r="F13" s="29">
        <v>40.8</v>
      </c>
      <c r="G13" s="31">
        <f t="shared" si="0"/>
        <v>12.2549019607843</v>
      </c>
      <c r="H13" s="32">
        <f>表3[[#This Row],[ATR（N)]]/2</f>
        <v>20.4</v>
      </c>
      <c r="I13" s="32">
        <f>表3[[#This Row],[ATR（N)]]*2</f>
        <v>81.6</v>
      </c>
      <c r="J13" s="7">
        <v>1</v>
      </c>
      <c r="K13" s="29">
        <v>2393</v>
      </c>
      <c r="L13" s="32">
        <f>K13+H13*表3[[#This Row],[多空]]</f>
        <v>2413.4</v>
      </c>
      <c r="M13" s="32">
        <f>L13+H13*表3[[#This Row],[多空]]</f>
        <v>2433.8</v>
      </c>
      <c r="N13" s="32">
        <f>M13+H13*表3[[#This Row],[多空]]</f>
        <v>2454.2</v>
      </c>
      <c r="O13" s="24">
        <v>500000</v>
      </c>
    </row>
    <row r="14" spans="1:15">
      <c r="A14" s="25" t="s">
        <v>31</v>
      </c>
      <c r="B14" s="25">
        <v>5</v>
      </c>
      <c r="C14" s="25" t="s">
        <v>18</v>
      </c>
      <c r="D14" s="26">
        <v>5</v>
      </c>
      <c r="E14" s="25">
        <v>2001</v>
      </c>
      <c r="F14" s="25">
        <v>234.25</v>
      </c>
      <c r="G14" s="27">
        <f t="shared" si="0"/>
        <v>4.26894343649947</v>
      </c>
      <c r="H14" s="24">
        <f>表3[[#This Row],[ATR（N)]]/2</f>
        <v>117.125</v>
      </c>
      <c r="I14" s="24">
        <f>表3[[#This Row],[ATR（N)]]*2</f>
        <v>468.5</v>
      </c>
      <c r="J14" s="1">
        <v>-1</v>
      </c>
      <c r="K14" s="25">
        <v>12610</v>
      </c>
      <c r="L14" s="24">
        <f>K14+H14*表3[[#This Row],[多空]]</f>
        <v>12492.875</v>
      </c>
      <c r="M14" s="24">
        <f>L14+H14*表3[[#This Row],[多空]]</f>
        <v>12375.75</v>
      </c>
      <c r="N14" s="24">
        <f>M14+H14*表3[[#This Row],[多空]]</f>
        <v>12258.625</v>
      </c>
      <c r="O14" s="24">
        <v>500000</v>
      </c>
    </row>
    <row r="15" spans="1:15">
      <c r="A15" s="25" t="s">
        <v>17</v>
      </c>
      <c r="B15" s="25">
        <v>1</v>
      </c>
      <c r="C15" s="25" t="s">
        <v>18</v>
      </c>
      <c r="D15" s="26">
        <v>10</v>
      </c>
      <c r="E15" s="25">
        <v>1911</v>
      </c>
      <c r="F15" s="25">
        <v>3614</v>
      </c>
      <c r="G15" s="27">
        <f t="shared" si="0"/>
        <v>1.38350857775318</v>
      </c>
      <c r="H15" s="24">
        <f>表3[[#This Row],[ATR（N)]]/2</f>
        <v>1807</v>
      </c>
      <c r="I15" s="24">
        <f>表3[[#This Row],[ATR（N)]]*2</f>
        <v>7228</v>
      </c>
      <c r="J15" s="1">
        <v>1</v>
      </c>
      <c r="K15" s="25">
        <v>127990</v>
      </c>
      <c r="L15" s="24">
        <f>K15+H15*表3[[#This Row],[多空]]</f>
        <v>129797</v>
      </c>
      <c r="M15" s="24">
        <f>L15+H15*表3[[#This Row],[多空]]</f>
        <v>131604</v>
      </c>
      <c r="N15" s="24">
        <f>M15+H15*表3[[#This Row],[多空]]</f>
        <v>133411</v>
      </c>
      <c r="O15" s="24">
        <v>500000</v>
      </c>
    </row>
    <row r="16" spans="1:15">
      <c r="A16" s="25" t="s">
        <v>32</v>
      </c>
      <c r="B16" s="25">
        <v>5</v>
      </c>
      <c r="C16" s="25" t="s">
        <v>18</v>
      </c>
      <c r="D16" s="26">
        <v>5</v>
      </c>
      <c r="E16" s="25">
        <v>2001</v>
      </c>
      <c r="F16" s="25">
        <v>73.25</v>
      </c>
      <c r="G16" s="27">
        <f t="shared" si="0"/>
        <v>13.6518771331058</v>
      </c>
      <c r="H16" s="24">
        <f>表3[[#This Row],[ATR（N)]]/2</f>
        <v>36.625</v>
      </c>
      <c r="I16" s="24">
        <f>表3[[#This Row],[ATR（N)]]*2</f>
        <v>146.5</v>
      </c>
      <c r="J16" s="1">
        <v>-1</v>
      </c>
      <c r="K16" s="25">
        <v>6415</v>
      </c>
      <c r="L16" s="24">
        <f>K16+H16*表3[[#This Row],[多空]]</f>
        <v>6378.375</v>
      </c>
      <c r="M16" s="24">
        <f>L16+H16*表3[[#This Row],[多空]]</f>
        <v>6341.75</v>
      </c>
      <c r="N16" s="24">
        <f>M16+H16*表3[[#This Row],[多空]]</f>
        <v>6305.125</v>
      </c>
      <c r="O16" s="24">
        <v>500000</v>
      </c>
    </row>
    <row r="17" spans="1:15">
      <c r="A17" s="25" t="s">
        <v>33</v>
      </c>
      <c r="B17" s="25">
        <v>5</v>
      </c>
      <c r="C17" s="25" t="s">
        <v>18</v>
      </c>
      <c r="D17" s="26">
        <v>5</v>
      </c>
      <c r="E17" s="25">
        <v>1912</v>
      </c>
      <c r="F17" s="25">
        <v>209.5</v>
      </c>
      <c r="G17" s="28">
        <f t="shared" si="0"/>
        <v>4.77326968973747</v>
      </c>
      <c r="H17" s="24">
        <f>表3[[#This Row],[ATR（N)]]/2</f>
        <v>104.75</v>
      </c>
      <c r="I17" s="24">
        <f>表3[[#This Row],[ATR（N)]]*2</f>
        <v>419</v>
      </c>
      <c r="J17" s="1">
        <v>1</v>
      </c>
      <c r="K17" s="25">
        <v>11000</v>
      </c>
      <c r="L17" s="24">
        <f>K17+H17*表3[[#This Row],[多空]]</f>
        <v>11104.75</v>
      </c>
      <c r="M17" s="24">
        <f>L17+H17*表3[[#This Row],[多空]]</f>
        <v>11209.5</v>
      </c>
      <c r="N17" s="24">
        <f>M17+H17*表3[[#This Row],[多空]]</f>
        <v>11314.25</v>
      </c>
      <c r="O17" s="24">
        <v>500000</v>
      </c>
    </row>
    <row r="18" spans="1:15">
      <c r="A18" s="25" t="s">
        <v>20</v>
      </c>
      <c r="B18" s="25">
        <v>10</v>
      </c>
      <c r="C18" s="25" t="s">
        <v>21</v>
      </c>
      <c r="D18" s="26">
        <v>1</v>
      </c>
      <c r="E18" s="25">
        <v>2001</v>
      </c>
      <c r="F18" s="25">
        <v>85.3</v>
      </c>
      <c r="G18" s="28">
        <f t="shared" si="0"/>
        <v>5.86166471277843</v>
      </c>
      <c r="H18" s="24">
        <f>表3[[#This Row],[ATR（N)]]/2</f>
        <v>42.65</v>
      </c>
      <c r="I18" s="24">
        <f>表3[[#This Row],[ATR（N)]]*2</f>
        <v>170.6</v>
      </c>
      <c r="J18" s="1">
        <v>1</v>
      </c>
      <c r="K18" s="25">
        <v>4545</v>
      </c>
      <c r="L18" s="24">
        <f>K18+H18*表3[[#This Row],[多空]]</f>
        <v>4587.65</v>
      </c>
      <c r="M18" s="24">
        <f>L18+H18*表3[[#This Row],[多空]]</f>
        <v>4630.3</v>
      </c>
      <c r="N18" s="24">
        <f>M18+H18*表3[[#This Row],[多空]]</f>
        <v>4672.95</v>
      </c>
      <c r="O18" s="24">
        <v>500000</v>
      </c>
    </row>
    <row r="19" spans="1:15">
      <c r="A19" s="25" t="s">
        <v>24</v>
      </c>
      <c r="B19" s="25">
        <v>10</v>
      </c>
      <c r="C19" s="25" t="s">
        <v>18</v>
      </c>
      <c r="D19" s="26">
        <v>1</v>
      </c>
      <c r="E19" s="25">
        <v>2001</v>
      </c>
      <c r="F19" s="25">
        <v>74.85</v>
      </c>
      <c r="G19" s="28">
        <f t="shared" si="0"/>
        <v>6.68002672010688</v>
      </c>
      <c r="H19" s="24">
        <f>表3[[#This Row],[ATR（N)]]/2</f>
        <v>37.425</v>
      </c>
      <c r="I19" s="24">
        <f>表3[[#This Row],[ATR（N)]]*2</f>
        <v>149.7</v>
      </c>
      <c r="J19" s="1">
        <v>1</v>
      </c>
      <c r="K19" s="25">
        <v>4670</v>
      </c>
      <c r="L19" s="24">
        <f>K19+H19*表3[[#This Row],[多空]]</f>
        <v>4707.425</v>
      </c>
      <c r="M19" s="24">
        <f>L19+H19*表3[[#This Row],[多空]]</f>
        <v>4744.85</v>
      </c>
      <c r="N19" s="24">
        <f>M19+H19*表3[[#This Row],[多空]]</f>
        <v>4782.275</v>
      </c>
      <c r="O19" s="24">
        <v>500000</v>
      </c>
    </row>
  </sheetData>
  <pageMargins left="0.7" right="0.7" top="0.75" bottom="0.75" header="0.3" footer="0.3"/>
  <pageSetup paperSize="1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zoomScale="145" zoomScaleNormal="145" workbookViewId="0">
      <selection activeCell="B18" sqref="B18"/>
    </sheetView>
  </sheetViews>
  <sheetFormatPr defaultColWidth="9" defaultRowHeight="13.5" outlineLevelCol="2"/>
  <cols>
    <col min="1" max="1" width="8.8" customWidth="1"/>
    <col min="2" max="2" width="94.7333333333333" customWidth="1"/>
    <col min="3" max="3" width="19" customWidth="1"/>
  </cols>
  <sheetData>
    <row r="1" spans="1:3">
      <c r="A1" t="s">
        <v>34</v>
      </c>
      <c r="B1" t="s">
        <v>35</v>
      </c>
      <c r="C1" t="s">
        <v>36</v>
      </c>
    </row>
    <row r="2" spans="1:3">
      <c r="A2" t="s">
        <v>37</v>
      </c>
      <c r="B2" t="s">
        <v>38</v>
      </c>
      <c r="C2" t="s">
        <v>39</v>
      </c>
    </row>
    <row r="3" spans="1:3">
      <c r="A3" t="s">
        <v>40</v>
      </c>
      <c r="B3" t="s">
        <v>41</v>
      </c>
    </row>
    <row r="4" spans="1:3">
      <c r="A4" t="s">
        <v>42</v>
      </c>
      <c r="B4" t="s">
        <v>43</v>
      </c>
    </row>
    <row r="5" spans="1:3">
      <c r="A5" t="s">
        <v>44</v>
      </c>
      <c r="B5" t="s">
        <v>45</v>
      </c>
    </row>
    <row r="6" spans="1:3">
      <c r="A6" t="s">
        <v>46</v>
      </c>
      <c r="B6" t="s">
        <v>47</v>
      </c>
    </row>
    <row r="7" spans="1:3">
      <c r="A7" t="s">
        <v>48</v>
      </c>
      <c r="B7" t="s">
        <v>49</v>
      </c>
    </row>
    <row r="8" spans="1:3">
      <c r="A8" t="s">
        <v>50</v>
      </c>
      <c r="B8" t="s">
        <v>51</v>
      </c>
    </row>
    <row r="9" spans="1:3">
      <c r="A9" t="s">
        <v>52</v>
      </c>
      <c r="B9" t="s">
        <v>53</v>
      </c>
    </row>
    <row r="10" spans="1:3">
      <c r="A10" t="s">
        <v>54</v>
      </c>
      <c r="B10" t="s">
        <v>55</v>
      </c>
      <c r="C10" t="s">
        <v>56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3"/>
  <sheetViews>
    <sheetView workbookViewId="0">
      <selection activeCell="A27" sqref="A2:A27"/>
    </sheetView>
  </sheetViews>
  <sheetFormatPr defaultColWidth="9.13333333333333" defaultRowHeight="13.5" outlineLevelCol="5"/>
  <cols>
    <col min="1" max="2" width="9.13333333333333" style="10" customWidth="1"/>
    <col min="3" max="4" width="9.13333333333333" style="11" customWidth="1"/>
    <col min="5" max="5" width="9.13333333333333" style="12" customWidth="1"/>
    <col min="6" max="6" width="7.13333333333333" style="13" customWidth="1"/>
    <col min="7" max="16384" width="9.13333333333333" style="14"/>
  </cols>
  <sheetData>
    <row r="1" s="10" customFormat="1" ht="14.25" spans="1:6">
      <c r="A1" s="15" t="s">
        <v>37</v>
      </c>
      <c r="B1" s="15" t="s">
        <v>57</v>
      </c>
      <c r="C1" s="15" t="s">
        <v>58</v>
      </c>
      <c r="D1" s="15" t="s">
        <v>2</v>
      </c>
      <c r="E1" s="15" t="s">
        <v>59</v>
      </c>
      <c r="F1" s="15" t="s">
        <v>60</v>
      </c>
    </row>
    <row r="2" ht="14.25" spans="1:6">
      <c r="A2" s="16" t="s">
        <v>61</v>
      </c>
      <c r="B2" s="16" t="s">
        <v>62</v>
      </c>
      <c r="C2" s="17">
        <v>1000</v>
      </c>
      <c r="D2" s="17">
        <v>1</v>
      </c>
      <c r="E2" s="18">
        <v>0.05</v>
      </c>
      <c r="F2" s="19">
        <v>0.06</v>
      </c>
    </row>
    <row r="3" ht="14.25" spans="1:6">
      <c r="A3" s="16" t="s">
        <v>63</v>
      </c>
      <c r="B3" s="16" t="s">
        <v>15</v>
      </c>
      <c r="C3" s="17">
        <v>15</v>
      </c>
      <c r="D3" s="17">
        <v>1</v>
      </c>
      <c r="E3" s="18">
        <v>1</v>
      </c>
      <c r="F3" s="19">
        <v>0.08</v>
      </c>
    </row>
    <row r="4" ht="14.25" spans="1:6">
      <c r="A4" s="16" t="s">
        <v>64</v>
      </c>
      <c r="B4" s="16" t="s">
        <v>65</v>
      </c>
      <c r="C4" s="17">
        <v>5</v>
      </c>
      <c r="D4" s="17">
        <v>1</v>
      </c>
      <c r="E4" s="18">
        <v>10</v>
      </c>
      <c r="F4" s="19">
        <v>0.08</v>
      </c>
    </row>
    <row r="5" ht="14.25" spans="1:6">
      <c r="A5" s="16" t="s">
        <v>66</v>
      </c>
      <c r="B5" s="16" t="s">
        <v>29</v>
      </c>
      <c r="C5" s="17">
        <v>5</v>
      </c>
      <c r="D5" s="17">
        <v>1</v>
      </c>
      <c r="E5" s="18">
        <v>5</v>
      </c>
      <c r="F5" s="19">
        <v>0.05</v>
      </c>
    </row>
    <row r="6" ht="14.25" spans="1:6">
      <c r="A6" s="16" t="s">
        <v>67</v>
      </c>
      <c r="B6" s="16" t="s">
        <v>68</v>
      </c>
      <c r="C6" s="17">
        <v>5</v>
      </c>
      <c r="D6" s="17">
        <v>1</v>
      </c>
      <c r="E6" s="18">
        <v>5</v>
      </c>
      <c r="F6" s="19">
        <v>0.06</v>
      </c>
    </row>
    <row r="7" ht="14.25" spans="1:6">
      <c r="A7" s="16" t="s">
        <v>69</v>
      </c>
      <c r="B7" s="16" t="s">
        <v>22</v>
      </c>
      <c r="C7" s="17">
        <v>5</v>
      </c>
      <c r="D7" s="17">
        <v>1</v>
      </c>
      <c r="E7" s="18">
        <v>5</v>
      </c>
      <c r="F7" s="19">
        <v>0.05</v>
      </c>
    </row>
    <row r="8" ht="14.25" spans="1:6">
      <c r="A8" s="16" t="s">
        <v>70</v>
      </c>
      <c r="B8" s="16" t="s">
        <v>17</v>
      </c>
      <c r="C8" s="17">
        <v>1</v>
      </c>
      <c r="D8" s="17">
        <v>1</v>
      </c>
      <c r="E8" s="18">
        <v>10</v>
      </c>
      <c r="F8" s="19">
        <v>0.08</v>
      </c>
    </row>
    <row r="9" ht="14.25" spans="1:6">
      <c r="A9" s="16" t="s">
        <v>71</v>
      </c>
      <c r="B9" s="16" t="s">
        <v>72</v>
      </c>
      <c r="C9" s="17">
        <v>1</v>
      </c>
      <c r="D9" s="17">
        <v>1</v>
      </c>
      <c r="E9" s="18">
        <v>10</v>
      </c>
      <c r="F9" s="19">
        <v>0.06</v>
      </c>
    </row>
    <row r="10" ht="14.25" spans="1:6">
      <c r="A10" s="16" t="s">
        <v>73</v>
      </c>
      <c r="B10" s="16" t="s">
        <v>74</v>
      </c>
      <c r="C10" s="17">
        <v>100</v>
      </c>
      <c r="D10" s="17">
        <v>1</v>
      </c>
      <c r="E10" s="18">
        <v>0.5</v>
      </c>
      <c r="F10" s="19">
        <v>0.09</v>
      </c>
    </row>
    <row r="11" ht="14.25" spans="1:6">
      <c r="A11" s="16" t="s">
        <v>75</v>
      </c>
      <c r="B11" s="16" t="s">
        <v>76</v>
      </c>
      <c r="C11" s="17">
        <v>60</v>
      </c>
      <c r="D11" s="17">
        <v>1</v>
      </c>
      <c r="E11" s="18">
        <v>0.5</v>
      </c>
      <c r="F11" s="19">
        <v>0.09</v>
      </c>
    </row>
    <row r="12" ht="14.25" spans="1:6">
      <c r="A12" s="16" t="s">
        <v>77</v>
      </c>
      <c r="B12" s="16" t="s">
        <v>78</v>
      </c>
      <c r="C12" s="17">
        <v>100</v>
      </c>
      <c r="D12" s="17">
        <v>1</v>
      </c>
      <c r="E12" s="18">
        <v>0.2</v>
      </c>
      <c r="F12" s="19">
        <v>0.06</v>
      </c>
    </row>
    <row r="13" ht="14.25" spans="1:6">
      <c r="A13" s="16" t="s">
        <v>79</v>
      </c>
      <c r="B13" s="16" t="s">
        <v>80</v>
      </c>
      <c r="C13" s="17">
        <v>100</v>
      </c>
      <c r="D13" s="17">
        <v>1</v>
      </c>
      <c r="E13" s="18">
        <v>0.5</v>
      </c>
      <c r="F13" s="19">
        <v>0.08</v>
      </c>
    </row>
    <row r="14" ht="14.25" spans="1:6">
      <c r="A14" s="16" t="s">
        <v>81</v>
      </c>
      <c r="B14" s="16" t="s">
        <v>19</v>
      </c>
      <c r="C14" s="17">
        <v>10</v>
      </c>
      <c r="D14" s="17">
        <v>1</v>
      </c>
      <c r="E14" s="18">
        <v>1</v>
      </c>
      <c r="F14" s="19">
        <v>0.08</v>
      </c>
    </row>
    <row r="15" ht="14.25" spans="1:6">
      <c r="A15" s="16" t="s">
        <v>82</v>
      </c>
      <c r="B15" s="16" t="s">
        <v>83</v>
      </c>
      <c r="C15" s="17">
        <v>10</v>
      </c>
      <c r="D15" s="17">
        <v>1</v>
      </c>
      <c r="E15" s="18">
        <v>1</v>
      </c>
      <c r="F15" s="19">
        <v>0.08</v>
      </c>
    </row>
    <row r="16" ht="14.25" spans="1:6">
      <c r="A16" s="16" t="s">
        <v>84</v>
      </c>
      <c r="B16" s="16" t="s">
        <v>85</v>
      </c>
      <c r="C16" s="17">
        <v>5</v>
      </c>
      <c r="D16" s="17">
        <v>1</v>
      </c>
      <c r="E16" s="18">
        <v>2</v>
      </c>
      <c r="F16" s="19">
        <v>0.05</v>
      </c>
    </row>
    <row r="17" ht="14.25" spans="1:6">
      <c r="A17" s="16" t="s">
        <v>86</v>
      </c>
      <c r="B17" s="16" t="s">
        <v>87</v>
      </c>
      <c r="C17" s="17">
        <v>5</v>
      </c>
      <c r="D17" s="17">
        <v>1</v>
      </c>
      <c r="E17" s="18">
        <v>2</v>
      </c>
      <c r="F17" s="19">
        <v>0.05</v>
      </c>
    </row>
    <row r="18" ht="14.25" spans="1:6">
      <c r="A18" s="16" t="s">
        <v>88</v>
      </c>
      <c r="B18" s="16" t="s">
        <v>89</v>
      </c>
      <c r="C18" s="17">
        <v>20</v>
      </c>
      <c r="D18" s="17">
        <v>1</v>
      </c>
      <c r="E18" s="18">
        <v>1</v>
      </c>
      <c r="F18" s="19">
        <v>0.06</v>
      </c>
    </row>
    <row r="19" ht="14.25" spans="1:6">
      <c r="A19" s="16" t="s">
        <v>90</v>
      </c>
      <c r="B19" s="16" t="s">
        <v>91</v>
      </c>
      <c r="C19" s="17">
        <v>10</v>
      </c>
      <c r="D19" s="17">
        <v>1</v>
      </c>
      <c r="E19" s="18">
        <v>5</v>
      </c>
      <c r="F19" s="19">
        <v>0.08</v>
      </c>
    </row>
    <row r="20" ht="14.25" spans="1:6">
      <c r="A20" s="16" t="s">
        <v>92</v>
      </c>
      <c r="B20" s="16" t="s">
        <v>93</v>
      </c>
      <c r="C20" s="17">
        <v>5</v>
      </c>
      <c r="D20" s="17">
        <v>1</v>
      </c>
      <c r="E20" s="18">
        <v>5</v>
      </c>
      <c r="F20" s="19">
        <v>0.07</v>
      </c>
    </row>
    <row r="21" ht="14.25" spans="1:6">
      <c r="A21" s="16" t="s">
        <v>28</v>
      </c>
      <c r="B21" s="16" t="s">
        <v>94</v>
      </c>
      <c r="C21" s="17">
        <v>5</v>
      </c>
      <c r="D21" s="17">
        <v>1</v>
      </c>
      <c r="E21" s="18">
        <v>2</v>
      </c>
      <c r="F21" s="19">
        <v>0.06</v>
      </c>
    </row>
    <row r="22" ht="14.25" spans="1:6">
      <c r="A22" s="16" t="s">
        <v>32</v>
      </c>
      <c r="B22" s="16" t="s">
        <v>95</v>
      </c>
      <c r="C22" s="17">
        <v>5</v>
      </c>
      <c r="D22" s="17">
        <v>1</v>
      </c>
      <c r="E22" s="18">
        <v>5</v>
      </c>
      <c r="F22" s="19">
        <v>0.07</v>
      </c>
    </row>
    <row r="23" ht="14.25" spans="1:6">
      <c r="A23" s="16" t="s">
        <v>96</v>
      </c>
      <c r="B23" s="16" t="s">
        <v>96</v>
      </c>
      <c r="C23" s="17">
        <v>5</v>
      </c>
      <c r="D23" s="17">
        <v>1</v>
      </c>
      <c r="E23" s="18">
        <v>1</v>
      </c>
      <c r="F23" s="19">
        <v>0.07</v>
      </c>
    </row>
    <row r="24" ht="14.25" spans="1:6">
      <c r="A24" s="16" t="s">
        <v>97</v>
      </c>
      <c r="B24" s="16" t="s">
        <v>98</v>
      </c>
      <c r="C24" s="17">
        <v>10</v>
      </c>
      <c r="D24" s="17">
        <v>1</v>
      </c>
      <c r="E24" s="18">
        <v>1</v>
      </c>
      <c r="F24" s="19">
        <v>0.07</v>
      </c>
    </row>
    <row r="25" ht="14.25" spans="1:6">
      <c r="A25" s="16" t="s">
        <v>99</v>
      </c>
      <c r="B25" s="16" t="s">
        <v>100</v>
      </c>
      <c r="C25" s="17">
        <v>10</v>
      </c>
      <c r="D25" s="17">
        <v>1</v>
      </c>
      <c r="E25" s="18">
        <v>2</v>
      </c>
      <c r="F25" s="19">
        <v>0.08</v>
      </c>
    </row>
    <row r="26" ht="14.25" spans="1:6">
      <c r="A26" s="16" t="s">
        <v>101</v>
      </c>
      <c r="B26" s="16" t="s">
        <v>102</v>
      </c>
      <c r="C26" s="17">
        <v>10</v>
      </c>
      <c r="D26" s="17">
        <v>1</v>
      </c>
      <c r="E26" s="18">
        <v>1</v>
      </c>
      <c r="F26" s="19">
        <v>0.07</v>
      </c>
    </row>
    <row r="27" ht="14.25" spans="1:6">
      <c r="A27" s="16" t="s">
        <v>103</v>
      </c>
      <c r="B27" s="16" t="s">
        <v>104</v>
      </c>
      <c r="C27" s="17">
        <v>10</v>
      </c>
      <c r="D27" s="17">
        <v>1</v>
      </c>
      <c r="E27" s="18">
        <v>1</v>
      </c>
      <c r="F27" s="19">
        <v>0.07</v>
      </c>
    </row>
    <row r="28" ht="14.25" spans="1:6">
      <c r="A28" s="16" t="s">
        <v>105</v>
      </c>
      <c r="B28" s="16" t="s">
        <v>106</v>
      </c>
      <c r="C28" s="17">
        <v>20</v>
      </c>
      <c r="D28" s="17">
        <v>1</v>
      </c>
      <c r="E28" s="18">
        <v>1</v>
      </c>
      <c r="F28" s="19">
        <v>0.06</v>
      </c>
    </row>
    <row r="29" ht="14.25" spans="1:6">
      <c r="A29" s="16" t="s">
        <v>107</v>
      </c>
      <c r="B29" s="16" t="s">
        <v>108</v>
      </c>
      <c r="C29" s="17">
        <v>20</v>
      </c>
      <c r="D29" s="17">
        <v>1</v>
      </c>
      <c r="E29" s="18">
        <v>1</v>
      </c>
      <c r="F29" s="19">
        <v>0.05</v>
      </c>
    </row>
    <row r="30" ht="14.25" spans="1:6">
      <c r="A30" s="16" t="s">
        <v>109</v>
      </c>
      <c r="B30" s="16" t="s">
        <v>110</v>
      </c>
      <c r="C30" s="17">
        <v>20</v>
      </c>
      <c r="D30" s="17">
        <v>1</v>
      </c>
      <c r="E30" s="18">
        <v>1</v>
      </c>
      <c r="F30" s="19">
        <v>0.05</v>
      </c>
    </row>
    <row r="31" ht="14.25" spans="1:6">
      <c r="A31" s="16" t="s">
        <v>111</v>
      </c>
      <c r="B31" s="16" t="s">
        <v>112</v>
      </c>
      <c r="C31" s="17">
        <v>20</v>
      </c>
      <c r="D31" s="17">
        <v>1</v>
      </c>
      <c r="E31" s="18">
        <v>1</v>
      </c>
      <c r="F31" s="19">
        <v>0.05</v>
      </c>
    </row>
    <row r="32" ht="14.25" spans="1:6">
      <c r="A32" s="16" t="s">
        <v>113</v>
      </c>
      <c r="B32" s="16" t="s">
        <v>114</v>
      </c>
      <c r="C32" s="17">
        <v>10</v>
      </c>
      <c r="D32" s="17">
        <v>1</v>
      </c>
      <c r="E32" s="18">
        <v>1</v>
      </c>
      <c r="F32" s="19">
        <v>0.05</v>
      </c>
    </row>
    <row r="33" ht="14.25" spans="1:6">
      <c r="A33" s="16" t="s">
        <v>115</v>
      </c>
      <c r="B33" s="16" t="s">
        <v>116</v>
      </c>
      <c r="C33" s="17">
        <v>10</v>
      </c>
      <c r="D33" s="17">
        <v>1</v>
      </c>
      <c r="E33" s="18">
        <v>1</v>
      </c>
      <c r="F33" s="19">
        <v>0.08</v>
      </c>
    </row>
    <row r="34" ht="14.25" spans="1:6">
      <c r="A34" s="16" t="s">
        <v>117</v>
      </c>
      <c r="B34" s="16" t="s">
        <v>30</v>
      </c>
      <c r="C34" s="17">
        <v>10</v>
      </c>
      <c r="D34" s="17">
        <v>1</v>
      </c>
      <c r="E34" s="18">
        <v>1</v>
      </c>
      <c r="F34" s="19">
        <v>0.06</v>
      </c>
    </row>
    <row r="35" ht="14.25" spans="1:6">
      <c r="A35" s="16" t="s">
        <v>118</v>
      </c>
      <c r="B35" s="16" t="s">
        <v>26</v>
      </c>
      <c r="C35" s="17">
        <v>10</v>
      </c>
      <c r="D35" s="17">
        <v>1</v>
      </c>
      <c r="E35" s="18">
        <v>2</v>
      </c>
      <c r="F35" s="19">
        <v>0.05</v>
      </c>
    </row>
    <row r="36" ht="14.25" spans="1:6">
      <c r="A36" s="16" t="s">
        <v>119</v>
      </c>
      <c r="B36" s="16" t="s">
        <v>27</v>
      </c>
      <c r="C36" s="17">
        <v>10</v>
      </c>
      <c r="D36" s="17">
        <v>1</v>
      </c>
      <c r="E36" s="18">
        <v>2</v>
      </c>
      <c r="F36" s="19">
        <v>0.06</v>
      </c>
    </row>
    <row r="37" ht="14.25" spans="1:6">
      <c r="A37" s="16" t="s">
        <v>120</v>
      </c>
      <c r="B37" s="16" t="s">
        <v>121</v>
      </c>
      <c r="C37" s="17">
        <v>10</v>
      </c>
      <c r="D37" s="17">
        <v>1</v>
      </c>
      <c r="E37" s="18">
        <v>2</v>
      </c>
      <c r="F37" s="19">
        <v>0.05</v>
      </c>
    </row>
    <row r="38" ht="14.25" spans="1:6">
      <c r="A38" s="16" t="s">
        <v>122</v>
      </c>
      <c r="B38" s="16" t="s">
        <v>31</v>
      </c>
      <c r="C38" s="17">
        <v>5</v>
      </c>
      <c r="D38" s="17">
        <v>1</v>
      </c>
      <c r="E38" s="18">
        <v>5</v>
      </c>
      <c r="F38" s="19">
        <v>0.07</v>
      </c>
    </row>
    <row r="39" ht="14.25" spans="1:6">
      <c r="A39" s="16" t="s">
        <v>123</v>
      </c>
      <c r="B39" s="16" t="s">
        <v>25</v>
      </c>
      <c r="C39" s="17">
        <v>10</v>
      </c>
      <c r="D39" s="17">
        <v>1</v>
      </c>
      <c r="E39" s="18">
        <v>1</v>
      </c>
      <c r="F39" s="19">
        <v>0.06</v>
      </c>
    </row>
    <row r="40" ht="14.25" spans="1:6">
      <c r="A40" s="16" t="s">
        <v>124</v>
      </c>
      <c r="B40" s="16" t="s">
        <v>20</v>
      </c>
      <c r="C40" s="17">
        <v>10</v>
      </c>
      <c r="D40" s="17">
        <v>1</v>
      </c>
      <c r="E40" s="18">
        <v>1</v>
      </c>
      <c r="F40" s="19">
        <v>0.1</v>
      </c>
    </row>
    <row r="41" ht="14.25" spans="1:6">
      <c r="A41" s="16" t="s">
        <v>125</v>
      </c>
      <c r="B41" s="16" t="s">
        <v>126</v>
      </c>
      <c r="C41" s="17">
        <v>10</v>
      </c>
      <c r="D41" s="17">
        <v>1</v>
      </c>
      <c r="E41" s="18">
        <v>1</v>
      </c>
      <c r="F41" s="19">
        <v>0.07</v>
      </c>
    </row>
    <row r="42" ht="14.25" spans="1:6">
      <c r="A42" s="16" t="s">
        <v>127</v>
      </c>
      <c r="B42" s="16" t="s">
        <v>128</v>
      </c>
      <c r="C42" s="17">
        <v>500</v>
      </c>
      <c r="D42" s="17">
        <v>1</v>
      </c>
      <c r="E42" s="18">
        <v>0.05</v>
      </c>
      <c r="F42" s="19">
        <v>0.2</v>
      </c>
    </row>
    <row r="43" ht="14.25" spans="1:6">
      <c r="A43" s="16" t="s">
        <v>129</v>
      </c>
      <c r="B43" s="16" t="s">
        <v>130</v>
      </c>
      <c r="C43" s="17">
        <v>500</v>
      </c>
      <c r="D43" s="17">
        <v>1</v>
      </c>
      <c r="E43" s="18">
        <v>0.05</v>
      </c>
      <c r="F43" s="19">
        <v>0.2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1"/>
  <sheetViews>
    <sheetView workbookViewId="0">
      <selection activeCell="J8" sqref="J8"/>
    </sheetView>
  </sheetViews>
  <sheetFormatPr defaultColWidth="9" defaultRowHeight="20.25"/>
  <cols>
    <col min="1" max="1" width="12.7333333333333" style="1" customWidth="1"/>
    <col min="2" max="3" width="9.26666666666667" style="1" customWidth="1"/>
    <col min="4" max="5" width="12.1333333333333" style="1" customWidth="1"/>
    <col min="6" max="6" width="15.2666666666667" style="1" customWidth="1"/>
    <col min="7" max="7" width="12.2666666666667" style="1" customWidth="1"/>
    <col min="8" max="8" width="12.1333333333333" style="1" customWidth="1"/>
    <col min="9" max="9" width="10.4666666666667" style="1" customWidth="1"/>
    <col min="11" max="11" width="9.26666666666667" customWidth="1"/>
    <col min="12" max="12" width="12.2666666666667" customWidth="1"/>
  </cols>
  <sheetData>
    <row r="1" spans="1:12">
      <c r="A1" s="1" t="s">
        <v>131</v>
      </c>
      <c r="B1" s="1" t="s">
        <v>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48</v>
      </c>
      <c r="H1" s="1" t="s">
        <v>136</v>
      </c>
      <c r="I1" s="1" t="s">
        <v>137</v>
      </c>
    </row>
    <row r="2" spans="1:12">
      <c r="A2" s="1" t="s">
        <v>138</v>
      </c>
      <c r="B2" s="1">
        <v>300</v>
      </c>
      <c r="C2" s="1">
        <v>-1</v>
      </c>
      <c r="D2" s="1">
        <v>3869.2</v>
      </c>
      <c r="E2" s="1">
        <v>1</v>
      </c>
      <c r="F2" s="2">
        <v>43647</v>
      </c>
      <c r="H2" s="1">
        <v>3805.93</v>
      </c>
      <c r="I2" s="3">
        <f>IF(表4[[#This Row],[平仓价]]=0,0,(H2-D2)*C2*E2*表4[[#This Row],[每手]])</f>
        <v>18981</v>
      </c>
      <c r="K2" s="4" t="s">
        <v>139</v>
      </c>
      <c r="L2" s="4" t="s">
        <v>140</v>
      </c>
    </row>
    <row r="3" spans="1:12">
      <c r="A3" s="1" t="s">
        <v>141</v>
      </c>
      <c r="B3" s="1">
        <v>5</v>
      </c>
      <c r="C3" s="1">
        <v>1</v>
      </c>
      <c r="D3" s="1">
        <v>46500</v>
      </c>
      <c r="E3" s="1">
        <v>1</v>
      </c>
      <c r="F3" s="2">
        <v>43647</v>
      </c>
      <c r="H3" s="1">
        <v>46450</v>
      </c>
      <c r="I3" s="1">
        <f>IF(表4[[#This Row],[平仓价]]=0,0,(H3-D3)*C3*E3*表4[[#This Row],[每手]])</f>
        <v>-250</v>
      </c>
      <c r="K3" s="5" t="s">
        <v>142</v>
      </c>
      <c r="L3" s="6">
        <v>0</v>
      </c>
    </row>
    <row r="4" spans="1:12">
      <c r="A4" s="1" t="s">
        <v>143</v>
      </c>
      <c r="B4" s="1">
        <v>10</v>
      </c>
      <c r="C4" s="1">
        <v>1</v>
      </c>
      <c r="D4" s="1">
        <v>4663</v>
      </c>
      <c r="E4" s="1">
        <v>14</v>
      </c>
      <c r="F4" s="2">
        <v>43647</v>
      </c>
      <c r="G4" s="1">
        <v>4545</v>
      </c>
      <c r="H4" s="1">
        <v>4432</v>
      </c>
      <c r="I4" s="3">
        <f>IF(表4[[#This Row],[平仓价]]=0,0,(H4-D4)*C4*E4*表4[[#This Row],[每手]])</f>
        <v>-32340</v>
      </c>
      <c r="K4" s="5" t="s">
        <v>141</v>
      </c>
      <c r="L4" s="6">
        <v>-250</v>
      </c>
    </row>
    <row r="5" spans="1:12">
      <c r="A5" s="1" t="s">
        <v>144</v>
      </c>
      <c r="B5" s="1">
        <v>10</v>
      </c>
      <c r="C5" s="1">
        <v>1</v>
      </c>
      <c r="D5" s="1">
        <v>4026.2</v>
      </c>
      <c r="E5" s="1">
        <v>10</v>
      </c>
      <c r="F5" s="2">
        <v>43647</v>
      </c>
      <c r="G5" s="1">
        <v>3911</v>
      </c>
      <c r="H5" s="1">
        <v>3909.1</v>
      </c>
      <c r="I5" s="1">
        <f>IF(表4[[#This Row],[平仓价]]=0,0,(H5-D5)*C5*E5*表4[[#This Row],[每手]])</f>
        <v>-11710</v>
      </c>
      <c r="K5" s="5" t="s">
        <v>145</v>
      </c>
      <c r="L5" s="6">
        <v>-6300</v>
      </c>
    </row>
    <row r="6" spans="1:12">
      <c r="A6" s="1" t="s">
        <v>142</v>
      </c>
      <c r="B6" s="1">
        <v>15</v>
      </c>
      <c r="C6" s="1">
        <v>1</v>
      </c>
      <c r="D6" s="1">
        <v>3765</v>
      </c>
      <c r="E6" s="1">
        <v>6</v>
      </c>
      <c r="F6" s="2">
        <v>43663</v>
      </c>
      <c r="G6" s="1">
        <v>3739.5</v>
      </c>
      <c r="I6" s="1">
        <f>IF(表4[[#This Row],[平仓价]]=0,0,(H6-D6)*C6*E6*表4[[#This Row],[每手]])</f>
        <v>0</v>
      </c>
      <c r="K6" s="5" t="s">
        <v>146</v>
      </c>
      <c r="L6" s="6">
        <v>41050</v>
      </c>
    </row>
    <row r="7" spans="1:12">
      <c r="A7" s="1" t="s">
        <v>142</v>
      </c>
      <c r="B7" s="1">
        <v>15</v>
      </c>
      <c r="C7" s="1">
        <v>1</v>
      </c>
      <c r="D7" s="1">
        <v>3788</v>
      </c>
      <c r="E7" s="1">
        <v>6</v>
      </c>
      <c r="F7" s="2">
        <v>43663</v>
      </c>
      <c r="G7" s="1">
        <v>3739.5</v>
      </c>
      <c r="I7" s="3">
        <f>IF(表4[[#This Row],[平仓价]]=0,0,(H7-D7)*C7*E7*表4[[#This Row],[每手]])</f>
        <v>0</v>
      </c>
      <c r="K7" s="5" t="s">
        <v>138</v>
      </c>
      <c r="L7" s="6">
        <v>18981</v>
      </c>
    </row>
    <row r="8" spans="1:12">
      <c r="A8" s="1" t="s">
        <v>142</v>
      </c>
      <c r="B8" s="1">
        <v>15</v>
      </c>
      <c r="C8" s="1">
        <v>1</v>
      </c>
      <c r="D8" s="1">
        <v>3812</v>
      </c>
      <c r="E8" s="1">
        <v>6</v>
      </c>
      <c r="F8" s="2">
        <v>43664</v>
      </c>
      <c r="G8" s="1">
        <v>3739.5</v>
      </c>
      <c r="I8" s="3">
        <f>IF(表4[[#This Row],[平仓价]]=0,0,(H8-D8)*C8*E8*表4[[#This Row],[每手]])</f>
        <v>0</v>
      </c>
      <c r="K8" s="5" t="s">
        <v>147</v>
      </c>
      <c r="L8" s="6">
        <v>3809.99999999995</v>
      </c>
    </row>
    <row r="9" spans="1:12">
      <c r="A9" s="1" t="s">
        <v>142</v>
      </c>
      <c r="B9" s="1">
        <v>15</v>
      </c>
      <c r="C9" s="1">
        <v>1</v>
      </c>
      <c r="D9" s="1">
        <v>3835</v>
      </c>
      <c r="E9" s="1">
        <v>6</v>
      </c>
      <c r="F9" s="2">
        <v>43664</v>
      </c>
      <c r="G9" s="1">
        <v>3739.5</v>
      </c>
      <c r="I9" s="3">
        <f>IF(表4[[#This Row],[平仓价]]=0,0,(H9-D9)*C9*E9*表4[[#This Row],[每手]])</f>
        <v>0</v>
      </c>
      <c r="K9" s="5" t="s">
        <v>143</v>
      </c>
      <c r="L9" s="6">
        <v>-32340</v>
      </c>
    </row>
    <row r="10" spans="1:12">
      <c r="A10" s="1" t="s">
        <v>148</v>
      </c>
      <c r="B10" s="1">
        <v>5</v>
      </c>
      <c r="C10" s="1">
        <v>1</v>
      </c>
      <c r="D10" s="1">
        <v>16555</v>
      </c>
      <c r="E10" s="1">
        <v>4</v>
      </c>
      <c r="F10" s="2">
        <v>43670</v>
      </c>
      <c r="G10" s="1">
        <v>16194</v>
      </c>
      <c r="H10" s="1">
        <v>16745</v>
      </c>
      <c r="I10" s="3">
        <f>IF(表4[[#This Row],[平仓价]]=0,0,(H10-D10)*C10*E10*表4[[#This Row],[每手]])</f>
        <v>3800</v>
      </c>
      <c r="K10" s="5" t="s">
        <v>149</v>
      </c>
      <c r="L10" s="6">
        <v>0</v>
      </c>
    </row>
    <row r="11" spans="1:12">
      <c r="A11" s="1" t="s">
        <v>148</v>
      </c>
      <c r="B11" s="1">
        <v>5</v>
      </c>
      <c r="C11" s="1">
        <v>1</v>
      </c>
      <c r="D11" s="1">
        <v>16675</v>
      </c>
      <c r="E11" s="1">
        <v>4</v>
      </c>
      <c r="F11" s="2">
        <v>43671</v>
      </c>
      <c r="G11" s="1">
        <v>16194</v>
      </c>
      <c r="H11" s="1">
        <v>16745</v>
      </c>
      <c r="I11" s="3">
        <f>IF(表4[[#This Row],[平仓价]]=0,0,(H11-D11)*C11*E11*表4[[#This Row],[每手]])</f>
        <v>1400</v>
      </c>
      <c r="K11" s="5" t="s">
        <v>148</v>
      </c>
      <c r="L11" s="6">
        <v>5200</v>
      </c>
    </row>
    <row r="12" spans="1:12">
      <c r="A12" s="1" t="s">
        <v>147</v>
      </c>
      <c r="B12" s="1">
        <v>300</v>
      </c>
      <c r="C12" s="1">
        <v>-1</v>
      </c>
      <c r="D12" s="1">
        <v>3801.2</v>
      </c>
      <c r="E12" s="1">
        <v>1</v>
      </c>
      <c r="F12" s="2">
        <v>43668</v>
      </c>
      <c r="H12" s="1">
        <v>3804</v>
      </c>
      <c r="I12" s="3">
        <f>IF(表4[[#This Row],[平仓价]]=0,0,(H12-D12)*C12*E12*表4[[#This Row],[每手]])</f>
        <v>-840.000000000055</v>
      </c>
      <c r="K12" s="5" t="s">
        <v>144</v>
      </c>
      <c r="L12" s="6">
        <v>-11710</v>
      </c>
    </row>
    <row r="13" spans="1:12">
      <c r="A13" s="1" t="s">
        <v>147</v>
      </c>
      <c r="B13" s="1">
        <v>300</v>
      </c>
      <c r="C13" s="1">
        <v>1</v>
      </c>
      <c r="D13" s="1">
        <v>3803.8</v>
      </c>
      <c r="E13" s="1">
        <v>1</v>
      </c>
      <c r="F13" s="2">
        <v>43670</v>
      </c>
      <c r="H13" s="1">
        <v>3724</v>
      </c>
      <c r="I13" s="3">
        <f>IF(表4[[#This Row],[平仓价]]=0,0,(H13-D13)*C13*E13*表4[[#This Row],[每手]])</f>
        <v>-23940.0000000001</v>
      </c>
      <c r="K13" s="5" t="s">
        <v>150</v>
      </c>
      <c r="L13" s="6">
        <v>-3270</v>
      </c>
    </row>
    <row r="14" spans="1:12">
      <c r="A14" s="1" t="s">
        <v>145</v>
      </c>
      <c r="B14" s="1">
        <v>10</v>
      </c>
      <c r="C14" s="1">
        <v>1</v>
      </c>
      <c r="D14" s="1">
        <v>4663</v>
      </c>
      <c r="E14" s="1">
        <v>5</v>
      </c>
      <c r="F14" s="2">
        <v>43676</v>
      </c>
      <c r="G14" s="1">
        <v>4458</v>
      </c>
      <c r="H14" s="1">
        <v>4537</v>
      </c>
      <c r="I14" s="3">
        <f>IF(表4[[#This Row],[平仓价]]=0,0,(H14-D14)*C14*E14*表4[[#This Row],[每手]])</f>
        <v>-6300</v>
      </c>
      <c r="K14" s="5" t="s">
        <v>151</v>
      </c>
      <c r="L14" s="6">
        <v>-17760.0000000001</v>
      </c>
    </row>
    <row r="15" spans="1:12">
      <c r="A15" s="1" t="s">
        <v>150</v>
      </c>
      <c r="B15" s="1">
        <v>10</v>
      </c>
      <c r="C15" s="1">
        <v>1</v>
      </c>
      <c r="D15" s="1">
        <v>5391</v>
      </c>
      <c r="E15" s="1">
        <v>6</v>
      </c>
      <c r="F15" s="2">
        <v>43678</v>
      </c>
      <c r="H15" s="1">
        <v>5326</v>
      </c>
      <c r="I15" s="3">
        <f>IF(表4[[#This Row],[平仓价]]=0,0,(H15-D15)*C15*E15*表4[[#This Row],[每手]])</f>
        <v>-3900</v>
      </c>
      <c r="K15" s="5" t="s">
        <v>152</v>
      </c>
      <c r="L15" s="6">
        <v>-21375</v>
      </c>
    </row>
    <row r="16" spans="1:12">
      <c r="A16" s="1" t="s">
        <v>147</v>
      </c>
      <c r="B16" s="1">
        <v>300</v>
      </c>
      <c r="C16" s="1">
        <v>-1</v>
      </c>
      <c r="D16" s="1">
        <v>3724</v>
      </c>
      <c r="E16" s="1">
        <v>1</v>
      </c>
      <c r="F16" s="2">
        <v>43679</v>
      </c>
      <c r="H16" s="1">
        <v>3675.6</v>
      </c>
      <c r="I16" s="3">
        <f>IF(表4[[#This Row],[平仓价]]=0,0,(H16-D16)*C16*E16*表4[[#This Row],[每手]])</f>
        <v>14520</v>
      </c>
      <c r="K16" s="5" t="s">
        <v>153</v>
      </c>
      <c r="L16" s="6">
        <v>-4920</v>
      </c>
    </row>
    <row r="17" spans="1:12">
      <c r="A17" s="1" t="s">
        <v>146</v>
      </c>
      <c r="B17" s="1">
        <v>100</v>
      </c>
      <c r="C17" s="1">
        <v>-1</v>
      </c>
      <c r="D17" s="1">
        <v>732.25</v>
      </c>
      <c r="E17" s="1">
        <v>4</v>
      </c>
      <c r="F17" s="2">
        <v>43679</v>
      </c>
      <c r="H17" s="1">
        <v>614</v>
      </c>
      <c r="I17" s="3">
        <f>IF(表4[[#This Row],[平仓价]]=0,0,(H17-D17)*C17*E17*表4[[#This Row],[每手]])</f>
        <v>47300</v>
      </c>
      <c r="K17" s="5" t="s">
        <v>154</v>
      </c>
      <c r="L17" s="6">
        <v>-4700</v>
      </c>
    </row>
    <row r="18" spans="1:12">
      <c r="A18" s="1" t="s">
        <v>149</v>
      </c>
      <c r="B18" s="1">
        <v>10</v>
      </c>
      <c r="C18" s="1">
        <v>1</v>
      </c>
      <c r="D18" s="1">
        <v>7120</v>
      </c>
      <c r="E18" s="1">
        <v>8</v>
      </c>
      <c r="F18" s="2">
        <v>43683</v>
      </c>
      <c r="G18" s="1">
        <v>7087</v>
      </c>
      <c r="I18" s="3">
        <f>IF(表4[[#This Row],[平仓价]]=0,0,(H18-D18)*C18*E18*表4[[#This Row],[每手]])</f>
        <v>0</v>
      </c>
      <c r="K18" s="5" t="s">
        <v>155</v>
      </c>
      <c r="L18" s="6">
        <v>0</v>
      </c>
    </row>
    <row r="19" spans="1:12">
      <c r="A19" s="1" t="s">
        <v>149</v>
      </c>
      <c r="B19" s="1">
        <v>10</v>
      </c>
      <c r="C19" s="1">
        <v>1</v>
      </c>
      <c r="D19" s="1">
        <v>7152</v>
      </c>
      <c r="E19" s="1">
        <v>8</v>
      </c>
      <c r="F19" s="2">
        <v>43685</v>
      </c>
      <c r="G19" s="1">
        <v>7087</v>
      </c>
      <c r="I19" s="3">
        <f>IF(表4[[#This Row],[平仓价]]=0,0,(H19-D19)*C19*E19*表4[[#This Row],[每手]])</f>
        <v>0</v>
      </c>
      <c r="K19" s="5" t="s">
        <v>156</v>
      </c>
      <c r="L19" s="6">
        <v>0</v>
      </c>
    </row>
    <row r="20" spans="1:12">
      <c r="A20" s="1" t="s">
        <v>149</v>
      </c>
      <c r="B20" s="1">
        <v>10</v>
      </c>
      <c r="C20" s="1">
        <v>1</v>
      </c>
      <c r="D20" s="1">
        <v>7185</v>
      </c>
      <c r="E20" s="1">
        <v>8</v>
      </c>
      <c r="F20" s="2">
        <v>43685</v>
      </c>
      <c r="G20" s="1">
        <v>7087</v>
      </c>
      <c r="I20" s="3">
        <f>IF(表4[[#This Row],[平仓价]]=0,0,(H20-D20)*C20*E20*表4[[#This Row],[每手]])</f>
        <v>0</v>
      </c>
      <c r="K20" s="5" t="s">
        <v>157</v>
      </c>
      <c r="L20" s="6">
        <v>-33584.0000000001</v>
      </c>
    </row>
    <row r="21" spans="1:12">
      <c r="A21" s="1" t="s">
        <v>149</v>
      </c>
      <c r="B21" s="1">
        <v>10</v>
      </c>
      <c r="C21" s="1">
        <v>1</v>
      </c>
      <c r="D21" s="1">
        <v>7216</v>
      </c>
      <c r="E21" s="1">
        <v>8</v>
      </c>
      <c r="F21" s="2">
        <v>43686</v>
      </c>
      <c r="G21" s="1">
        <v>7087</v>
      </c>
      <c r="I21" s="3">
        <f>IF(表4[[#This Row],[平仓价]]=0,0,(H21-D21)*C21*E21*表4[[#This Row],[每手]])</f>
        <v>0</v>
      </c>
    </row>
    <row r="22" spans="1:12">
      <c r="A22" s="1" t="s">
        <v>150</v>
      </c>
      <c r="B22" s="1">
        <v>10</v>
      </c>
      <c r="C22" s="1">
        <v>1</v>
      </c>
      <c r="D22" s="1">
        <v>5492</v>
      </c>
      <c r="E22" s="1">
        <v>1</v>
      </c>
      <c r="F22" s="2">
        <v>43689</v>
      </c>
      <c r="H22" s="1">
        <v>5555</v>
      </c>
      <c r="I22" s="3">
        <f>IF(表4[[#This Row],[平仓价]]=0,0,(H22-D22)*C22*E22*表4[[#This Row],[每手]])</f>
        <v>630</v>
      </c>
    </row>
    <row r="23" spans="1:12">
      <c r="A23" s="1" t="s">
        <v>147</v>
      </c>
      <c r="B23" s="1">
        <v>300</v>
      </c>
      <c r="C23" s="1">
        <v>-1</v>
      </c>
      <c r="D23" s="1">
        <v>3675.4</v>
      </c>
      <c r="E23" s="1">
        <v>1</v>
      </c>
      <c r="F23" s="2">
        <v>43689</v>
      </c>
      <c r="H23" s="1">
        <v>3677.4</v>
      </c>
      <c r="I23" s="3">
        <f>IF(表4[[#This Row],[平仓价]]=0,0,(H23-D23)*C23*E23*表4[[#This Row],[每手]])</f>
        <v>-600</v>
      </c>
    </row>
    <row r="24" spans="1:12">
      <c r="A24" s="1" t="s">
        <v>147</v>
      </c>
      <c r="B24" s="1">
        <v>300</v>
      </c>
      <c r="C24" s="7">
        <v>1</v>
      </c>
      <c r="D24" s="7">
        <v>3677.4</v>
      </c>
      <c r="E24" s="7">
        <v>1</v>
      </c>
      <c r="F24" s="8">
        <v>43691</v>
      </c>
      <c r="G24" s="7"/>
      <c r="H24" s="7">
        <v>3726.3</v>
      </c>
      <c r="I24" s="9">
        <f>IF(表4[[#This Row],[平仓价]]=0,0,(H24-D24)*C24*E24*表4[[#This Row],[每手]])</f>
        <v>14670</v>
      </c>
    </row>
    <row r="25" spans="1:12">
      <c r="A25" s="1" t="s">
        <v>151</v>
      </c>
      <c r="B25" s="1">
        <v>300</v>
      </c>
      <c r="C25" s="7">
        <v>1</v>
      </c>
      <c r="D25" s="1">
        <v>3705.4</v>
      </c>
      <c r="E25" s="1">
        <v>1</v>
      </c>
      <c r="F25" s="2">
        <v>43696</v>
      </c>
      <c r="H25" s="1">
        <v>3755.8</v>
      </c>
      <c r="I25" s="3">
        <f>IF(表4[[#This Row],[平仓价]]=0,0,(H25-D25)*C25*E25*表4[[#This Row],[每手]])</f>
        <v>15120</v>
      </c>
    </row>
    <row r="26" spans="1:12">
      <c r="A26" s="1" t="s">
        <v>158</v>
      </c>
      <c r="B26" s="1">
        <v>100</v>
      </c>
      <c r="C26" s="1">
        <v>1</v>
      </c>
      <c r="D26" s="1">
        <v>634</v>
      </c>
      <c r="E26" s="1">
        <v>1</v>
      </c>
      <c r="F26" s="2">
        <v>43696</v>
      </c>
      <c r="H26" s="1">
        <v>616.5</v>
      </c>
      <c r="I26" s="3">
        <f>IF(表4[[#This Row],[平仓价]]=0,0,(H26-D26)*C26*E26*表4[[#This Row],[每手]])</f>
        <v>-1750</v>
      </c>
    </row>
    <row r="27" spans="1:12">
      <c r="A27" s="1" t="s">
        <v>158</v>
      </c>
      <c r="B27" s="1">
        <v>100</v>
      </c>
      <c r="C27" s="1">
        <v>-1</v>
      </c>
      <c r="D27" s="1">
        <v>609.5</v>
      </c>
      <c r="E27" s="1">
        <v>5</v>
      </c>
      <c r="F27" s="2">
        <v>43696</v>
      </c>
      <c r="H27" s="1">
        <v>618.5</v>
      </c>
      <c r="I27" s="3">
        <f>IF(表4[[#This Row],[平仓价]]=0,0,(H27-D27)*C27*E27*表4[[#This Row],[每手]])</f>
        <v>-4500</v>
      </c>
    </row>
    <row r="28" spans="1:12">
      <c r="A28" s="1" t="s">
        <v>152</v>
      </c>
      <c r="B28" s="1">
        <v>5</v>
      </c>
      <c r="C28" s="1">
        <v>1</v>
      </c>
      <c r="D28" s="1">
        <v>14270</v>
      </c>
      <c r="E28" s="1">
        <v>9</v>
      </c>
      <c r="F28" s="2">
        <v>43692</v>
      </c>
      <c r="H28" s="1">
        <v>14340</v>
      </c>
      <c r="I28" s="3">
        <f>IF(表4[[#This Row],[平仓价]]=0,0,(H28-D28)*C28*E28*表4[[#This Row],[每手]])</f>
        <v>3150</v>
      </c>
    </row>
    <row r="29" spans="1:12">
      <c r="A29" s="1" t="s">
        <v>152</v>
      </c>
      <c r="B29" s="1">
        <v>5</v>
      </c>
      <c r="C29" s="1">
        <v>1</v>
      </c>
      <c r="D29" s="1">
        <v>14325</v>
      </c>
      <c r="E29" s="1">
        <v>9</v>
      </c>
      <c r="F29" s="2">
        <v>43696</v>
      </c>
      <c r="G29" s="1">
        <v>14195</v>
      </c>
      <c r="H29" s="1">
        <v>14225</v>
      </c>
      <c r="I29" s="3">
        <f>IF(表4[[#This Row],[平仓价]]=0,0,(H29-D29)*C29*E29*表4[[#This Row],[每手]])</f>
        <v>-4500</v>
      </c>
    </row>
    <row r="30" spans="1:12">
      <c r="A30" s="1" t="s">
        <v>152</v>
      </c>
      <c r="B30" s="1">
        <v>5</v>
      </c>
      <c r="C30" s="1">
        <v>1</v>
      </c>
      <c r="D30" s="1">
        <v>14430</v>
      </c>
      <c r="E30" s="1">
        <v>9</v>
      </c>
      <c r="F30" s="2">
        <v>43696</v>
      </c>
      <c r="G30" s="1">
        <v>14195</v>
      </c>
      <c r="H30" s="1">
        <v>14225</v>
      </c>
      <c r="I30" s="3">
        <f>IF(表4[[#This Row],[平仓价]]=0,0,(H30-D30)*C30*E30*表4[[#This Row],[每手]])</f>
        <v>-9225</v>
      </c>
    </row>
    <row r="31" spans="1:12">
      <c r="A31" s="1" t="s">
        <v>152</v>
      </c>
      <c r="B31" s="1">
        <v>5</v>
      </c>
      <c r="C31" s="1">
        <v>1</v>
      </c>
      <c r="D31" s="1">
        <v>14345</v>
      </c>
      <c r="E31" s="1">
        <v>18</v>
      </c>
      <c r="F31" s="2">
        <v>43698</v>
      </c>
      <c r="G31" s="1">
        <v>14225</v>
      </c>
      <c r="H31" s="1">
        <v>14225</v>
      </c>
      <c r="I31" s="3">
        <f>IF(表4[[#This Row],[平仓价]]=0,0,(H31-D31)*C31*E31*表4[[#This Row],[每手]])</f>
        <v>-10800</v>
      </c>
    </row>
    <row r="32" spans="1:12">
      <c r="A32" s="1" t="s">
        <v>153</v>
      </c>
      <c r="B32" s="1">
        <v>10</v>
      </c>
      <c r="C32" s="1">
        <v>1</v>
      </c>
      <c r="D32" s="1">
        <v>2414</v>
      </c>
      <c r="E32" s="1">
        <v>12</v>
      </c>
      <c r="F32" s="2">
        <v>43703</v>
      </c>
      <c r="G32" s="1">
        <v>2373</v>
      </c>
      <c r="H32" s="1">
        <v>2373</v>
      </c>
      <c r="I32" s="3">
        <f>IF(表4[[#This Row],[平仓价]]=0,0,(H32-D32)*C32*E32*表4[[#This Row],[每手]])</f>
        <v>-4920</v>
      </c>
    </row>
    <row r="33" spans="1:9">
      <c r="A33" s="1" t="s">
        <v>151</v>
      </c>
      <c r="B33" s="1">
        <v>300</v>
      </c>
      <c r="C33" s="1">
        <v>-1</v>
      </c>
      <c r="D33" s="1">
        <v>3755.6</v>
      </c>
      <c r="E33" s="1">
        <v>1</v>
      </c>
      <c r="F33" s="2">
        <v>43703</v>
      </c>
      <c r="H33" s="1">
        <v>3820.4</v>
      </c>
      <c r="I33" s="3">
        <f>IF(表4[[#This Row],[平仓价]]=0,0,(H33-D33)*C33*E33*表4[[#This Row],[每手]])</f>
        <v>-19440.0000000001</v>
      </c>
    </row>
    <row r="34" spans="1:9">
      <c r="A34" s="1" t="s">
        <v>154</v>
      </c>
      <c r="B34" s="1">
        <v>5</v>
      </c>
      <c r="C34" s="1">
        <v>-1</v>
      </c>
      <c r="D34" s="1">
        <v>12260</v>
      </c>
      <c r="E34" s="1">
        <v>4</v>
      </c>
      <c r="F34" s="2">
        <v>43703</v>
      </c>
      <c r="G34" s="1">
        <v>12495</v>
      </c>
      <c r="H34" s="1">
        <v>12495</v>
      </c>
      <c r="I34" s="3">
        <f>IF(表4[[#This Row],[平仓价]]=0,0,(H34-D34)*C34*E34*表4[[#This Row],[每手]])</f>
        <v>-4700</v>
      </c>
    </row>
    <row r="35" spans="1:9">
      <c r="A35" s="1" t="s">
        <v>151</v>
      </c>
      <c r="B35" s="1">
        <v>300</v>
      </c>
      <c r="C35" s="1">
        <v>1</v>
      </c>
      <c r="D35" s="1">
        <v>3820.4</v>
      </c>
      <c r="E35" s="1">
        <v>1</v>
      </c>
      <c r="F35" s="2">
        <v>43704</v>
      </c>
      <c r="H35" s="1">
        <v>3775.6</v>
      </c>
      <c r="I35" s="3">
        <f>IF(表4[[#This Row],[平仓价]]=0,0,(H35-D35)*C35*E35*表4[[#This Row],[每手]])</f>
        <v>-13440.0000000001</v>
      </c>
    </row>
    <row r="36" spans="1:9">
      <c r="A36" s="1" t="s">
        <v>151</v>
      </c>
      <c r="B36" s="1">
        <v>300</v>
      </c>
      <c r="C36" s="1">
        <v>-1</v>
      </c>
      <c r="D36" s="1">
        <v>3775.4</v>
      </c>
      <c r="E36" s="1">
        <v>1</v>
      </c>
      <c r="F36" s="2">
        <v>43706</v>
      </c>
      <c r="H36" s="1">
        <v>3838</v>
      </c>
      <c r="I36" s="3">
        <f>IF(表4[[#This Row],[平仓价]]=0,0,(H36-D36)*C36*E36*表4[[#This Row],[每手]])</f>
        <v>-18780</v>
      </c>
    </row>
    <row r="37" spans="1:9">
      <c r="A37" s="1" t="s">
        <v>155</v>
      </c>
      <c r="B37" s="1">
        <v>1</v>
      </c>
      <c r="C37" s="1">
        <v>1</v>
      </c>
      <c r="D37" s="1">
        <v>128000</v>
      </c>
      <c r="E37" s="1">
        <v>1</v>
      </c>
      <c r="F37" s="2">
        <v>43706</v>
      </c>
      <c r="G37" s="1">
        <v>122572</v>
      </c>
      <c r="I37" s="3">
        <f>IF(表4[[#This Row],[平仓价]]=0,0,(H37-D37)*C37*E37*表4[[#This Row],[每手]])</f>
        <v>0</v>
      </c>
    </row>
    <row r="38" spans="1:9">
      <c r="A38" s="7" t="s">
        <v>155</v>
      </c>
      <c r="B38" s="1">
        <v>1</v>
      </c>
      <c r="C38" s="7">
        <v>1</v>
      </c>
      <c r="D38" s="7">
        <v>129800</v>
      </c>
      <c r="E38" s="7">
        <v>1</v>
      </c>
      <c r="F38" s="8">
        <v>43707</v>
      </c>
      <c r="G38" s="7">
        <v>122572</v>
      </c>
      <c r="H38" s="7"/>
      <c r="I38" s="9">
        <f>IF(表4[[#This Row],[平仓价]]=0,0,(H38-D38)*C38*E38*表4[[#This Row],[每手]])</f>
        <v>0</v>
      </c>
    </row>
    <row r="39" spans="1:9">
      <c r="A39" s="1" t="s">
        <v>156</v>
      </c>
      <c r="B39" s="1">
        <v>5</v>
      </c>
      <c r="C39" s="1">
        <v>-1</v>
      </c>
      <c r="D39" s="1">
        <v>6380</v>
      </c>
      <c r="E39" s="1">
        <v>14</v>
      </c>
      <c r="F39" s="2">
        <v>43707</v>
      </c>
      <c r="G39" s="1">
        <v>6525</v>
      </c>
      <c r="I39" s="3">
        <f>IF(表4[[#This Row],[平仓价]]=0,0,(H39-D39)*C39*E39*表4[[#This Row],[每手]])</f>
        <v>0</v>
      </c>
    </row>
    <row r="40" spans="1:9">
      <c r="A40" s="1" t="s">
        <v>151</v>
      </c>
      <c r="B40" s="1">
        <v>300</v>
      </c>
      <c r="C40" s="1">
        <v>1</v>
      </c>
      <c r="D40" s="1">
        <v>3839.8</v>
      </c>
      <c r="E40" s="1">
        <v>1</v>
      </c>
      <c r="F40" s="2">
        <v>43711</v>
      </c>
      <c r="H40" s="1">
        <v>3838.2</v>
      </c>
      <c r="I40" s="3">
        <f>IF(表4[[#This Row],[平仓价]]=0,0,(H40-D40)*C40*E40*表4[[#This Row],[每手]])</f>
        <v>-480.000000000109</v>
      </c>
    </row>
    <row r="41" spans="1:9">
      <c r="A41" s="1" t="s">
        <v>151</v>
      </c>
      <c r="B41" s="1">
        <v>300</v>
      </c>
      <c r="C41" s="1">
        <v>1</v>
      </c>
      <c r="D41" s="1">
        <v>3839.8</v>
      </c>
      <c r="E41" s="1">
        <v>1</v>
      </c>
      <c r="F41" s="2">
        <v>43711</v>
      </c>
      <c r="I41" s="3">
        <f>IF(表4[[#This Row],[平仓价]]=0,0,(H41-D41)*C41*E41*表4[[#This Row],[每手]])</f>
        <v>0</v>
      </c>
    </row>
  </sheetData>
  <pageMargins left="0.7" right="0.7" top="0.75" bottom="0.75" header="0.3" footer="0.3"/>
  <pageSetup paperSize="9" orientation="portrait"/>
  <headerFooter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交易系统</vt:lpstr>
      <vt:lpstr>交易系统说明</vt:lpstr>
      <vt:lpstr>基础资料</vt:lpstr>
      <vt:lpstr>交易日志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</dc:creator>
  <cp:lastModifiedBy>孙进富</cp:lastModifiedBy>
  <dcterms:created xsi:type="dcterms:W3CDTF">2016-03-02T01:27:00Z</dcterms:created>
  <cp:lastPrinted>2019-07-16T15:29:00Z</cp:lastPrinted>
  <dcterms:modified xsi:type="dcterms:W3CDTF">2026-04-28T10:33:04Z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7B24E44463C54B0EB45E332EAA05ED5C_13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